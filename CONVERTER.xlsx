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xmarkad-my.sharepoint.com/personal/jairo_ponce_lexmark_com/Documents/Desktop/"/>
    </mc:Choice>
  </mc:AlternateContent>
  <bookViews>
    <workbookView xWindow="-110" yWindow="-110" windowWidth="19420" windowHeight="12220" tabRatio="714" activeTab="1" xr2:uid="{9B76E966-91F0-4AFF-AC7D-5908515F6D4A}"/>
  </bookViews>
  <sheets>
    <sheet name="MV_log" sheetId="20" r:id="rId1"/>
    <sheet name="LS_log" sheetId="1" r:id="rId2"/>
    <sheet name="LS_debug" sheetId="2" r:id="rId3"/>
    <sheet name="Ricoh cmds" sheetId="18" r:id="rId4"/>
    <sheet name="v1.16" sheetId="3" r:id="rId5"/>
    <sheet name="for specs" sheetId="4" r:id="rId6"/>
    <sheet name="stafford_qds1" sheetId="15" r:id="rId7"/>
    <sheet name="Lawrence vs Stafford" sheetId="17" r:id="rId8"/>
    <sheet name="Sheet1" sheetId="19" r:id="rId9"/>
  </sheets>
  <definedNames>
    <definedName name="_xlnm._FilterDatabase" localSheetId="5" hidden="1">'for specs'!$J$1:$J$6450</definedName>
    <definedName name="_xlnm._FilterDatabase" localSheetId="2" hidden="1">LS_debug!$G$1:$I$190</definedName>
    <definedName name="_xlnm._FilterDatabase" localSheetId="6" hidden="1">stafford_qds1!$F$2:$F$2938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25" i="1" l="1"/>
  <c r="X26" i="1"/>
  <c r="M21" i="1"/>
  <c r="P21" i="1" s="1"/>
  <c r="M20" i="1"/>
  <c r="P20" i="1" s="1"/>
  <c r="N21" i="1"/>
  <c r="N20" i="1"/>
  <c r="R20" i="1" l="1"/>
  <c r="C29" i="1"/>
  <c r="C28" i="1"/>
  <c r="C18" i="1"/>
  <c r="J5" i="20"/>
  <c r="C21" i="20"/>
  <c r="C5" i="2"/>
  <c r="E31" i="20"/>
  <c r="C31" i="20"/>
  <c r="E30" i="20"/>
  <c r="C30" i="20"/>
  <c r="E29" i="20"/>
  <c r="C29" i="20"/>
  <c r="E28" i="20"/>
  <c r="C28" i="20"/>
  <c r="D21" i="20"/>
  <c r="C18" i="20"/>
  <c r="M10" i="20"/>
  <c r="E10" i="20"/>
  <c r="G10" i="20" s="1"/>
  <c r="G11" i="20" s="1"/>
  <c r="M9" i="20"/>
  <c r="E9" i="20"/>
  <c r="M8" i="20"/>
  <c r="M7" i="20"/>
  <c r="M6" i="20"/>
  <c r="M5" i="20"/>
  <c r="M4" i="20"/>
  <c r="M3" i="20"/>
  <c r="J3" i="20"/>
  <c r="G3" i="20"/>
  <c r="G4" i="20" s="1"/>
  <c r="G5" i="20" s="1"/>
  <c r="C3" i="20"/>
  <c r="C4" i="20" s="1"/>
  <c r="E10" i="1"/>
  <c r="G10" i="1" s="1"/>
  <c r="G11" i="1" s="1"/>
  <c r="E9" i="1"/>
  <c r="C21" i="1"/>
  <c r="G3" i="1"/>
  <c r="D21" i="1"/>
  <c r="C3" i="1"/>
  <c r="C4" i="1" s="1"/>
  <c r="D33" i="19"/>
  <c r="D12" i="19"/>
  <c r="D4" i="19"/>
  <c r="U5" i="19"/>
  <c r="U6" i="19"/>
  <c r="C4" i="19" s="1"/>
  <c r="U7" i="19"/>
  <c r="U8" i="19"/>
  <c r="U9" i="19"/>
  <c r="U10" i="19"/>
  <c r="U11" i="19"/>
  <c r="U12" i="19"/>
  <c r="C12" i="19" s="1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C25" i="19" s="1"/>
  <c r="U26" i="19"/>
  <c r="U27" i="19"/>
  <c r="U28" i="19"/>
  <c r="U29" i="19"/>
  <c r="U30" i="19"/>
  <c r="U31" i="19"/>
  <c r="U32" i="19"/>
  <c r="U33" i="19"/>
  <c r="C33" i="19" s="1"/>
  <c r="U34" i="19"/>
  <c r="U35" i="19"/>
  <c r="U36" i="19"/>
  <c r="B33" i="19" s="1"/>
  <c r="U37" i="19"/>
  <c r="U38" i="19"/>
  <c r="U39" i="19"/>
  <c r="U40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U4" i="19"/>
  <c r="B4" i="19" s="1"/>
  <c r="T4" i="19"/>
  <c r="S4" i="19"/>
  <c r="R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" i="19"/>
  <c r="C31" i="1"/>
  <c r="C8" i="2"/>
  <c r="C10" i="2"/>
  <c r="C9" i="2"/>
  <c r="X158" i="17"/>
  <c r="X157" i="17"/>
  <c r="H255" i="17"/>
  <c r="H346" i="17"/>
  <c r="H300" i="17"/>
  <c r="G257" i="17"/>
  <c r="G258" i="17"/>
  <c r="G259" i="17"/>
  <c r="G260" i="17"/>
  <c r="G261" i="17"/>
  <c r="G262" i="17"/>
  <c r="G263" i="17"/>
  <c r="G264" i="17"/>
  <c r="H264" i="17" s="1"/>
  <c r="G265" i="17"/>
  <c r="G266" i="17"/>
  <c r="G267" i="17"/>
  <c r="G268" i="17"/>
  <c r="G269" i="17"/>
  <c r="G270" i="17"/>
  <c r="G271" i="17"/>
  <c r="G272" i="17"/>
  <c r="H272" i="17" s="1"/>
  <c r="G273" i="17"/>
  <c r="G274" i="17"/>
  <c r="G275" i="17"/>
  <c r="G276" i="17"/>
  <c r="G277" i="17"/>
  <c r="G278" i="17"/>
  <c r="G279" i="17"/>
  <c r="H279" i="17" s="1"/>
  <c r="G280" i="17"/>
  <c r="G281" i="17"/>
  <c r="G282" i="17"/>
  <c r="G283" i="17"/>
  <c r="G284" i="17"/>
  <c r="G285" i="17"/>
  <c r="G286" i="17"/>
  <c r="G287" i="17"/>
  <c r="G288" i="17"/>
  <c r="H288" i="17" s="1"/>
  <c r="G289" i="17"/>
  <c r="G290" i="17"/>
  <c r="G291" i="17"/>
  <c r="G292" i="17"/>
  <c r="G293" i="17"/>
  <c r="G294" i="17"/>
  <c r="G295" i="17"/>
  <c r="G296" i="17"/>
  <c r="H296" i="17" s="1"/>
  <c r="G297" i="17"/>
  <c r="G298" i="17"/>
  <c r="G299" i="17"/>
  <c r="G300" i="17"/>
  <c r="G301" i="17"/>
  <c r="G302" i="17"/>
  <c r="G303" i="17"/>
  <c r="H303" i="17" s="1"/>
  <c r="G304" i="17"/>
  <c r="H304" i="17" s="1"/>
  <c r="G305" i="17"/>
  <c r="G306" i="17"/>
  <c r="G307" i="17"/>
  <c r="G308" i="17"/>
  <c r="G309" i="17"/>
  <c r="G310" i="17"/>
  <c r="G311" i="17"/>
  <c r="H311" i="17" s="1"/>
  <c r="G312" i="17"/>
  <c r="H312" i="17" s="1"/>
  <c r="G313" i="17"/>
  <c r="G314" i="17"/>
  <c r="G315" i="17"/>
  <c r="G316" i="17"/>
  <c r="G317" i="17"/>
  <c r="G318" i="17"/>
  <c r="G319" i="17"/>
  <c r="H319" i="17" s="1"/>
  <c r="G320" i="17"/>
  <c r="H320" i="17" s="1"/>
  <c r="G321" i="17"/>
  <c r="G322" i="17"/>
  <c r="G323" i="17"/>
  <c r="G324" i="17"/>
  <c r="G325" i="17"/>
  <c r="G326" i="17"/>
  <c r="G327" i="17"/>
  <c r="G328" i="17"/>
  <c r="H328" i="17" s="1"/>
  <c r="G329" i="17"/>
  <c r="G330" i="17"/>
  <c r="G331" i="17"/>
  <c r="G332" i="17"/>
  <c r="G333" i="17"/>
  <c r="G334" i="17"/>
  <c r="G335" i="17"/>
  <c r="G336" i="17"/>
  <c r="H336" i="17" s="1"/>
  <c r="G337" i="17"/>
  <c r="G338" i="17"/>
  <c r="G339" i="17"/>
  <c r="G340" i="17"/>
  <c r="G341" i="17"/>
  <c r="G342" i="17"/>
  <c r="G343" i="17"/>
  <c r="G344" i="17"/>
  <c r="H344" i="17" s="1"/>
  <c r="G345" i="17"/>
  <c r="G346" i="17"/>
  <c r="G347" i="17"/>
  <c r="G348" i="17"/>
  <c r="G349" i="17"/>
  <c r="G350" i="17"/>
  <c r="G351" i="17"/>
  <c r="H351" i="17" s="1"/>
  <c r="G352" i="17"/>
  <c r="H352" i="17" s="1"/>
  <c r="G353" i="17"/>
  <c r="G354" i="17"/>
  <c r="G355" i="17"/>
  <c r="G356" i="17"/>
  <c r="G357" i="17"/>
  <c r="G198" i="17"/>
  <c r="G199" i="17"/>
  <c r="G200" i="17"/>
  <c r="G201" i="17"/>
  <c r="G202" i="17"/>
  <c r="G203" i="17"/>
  <c r="G204" i="17"/>
  <c r="H204" i="17" s="1"/>
  <c r="G205" i="17"/>
  <c r="H205" i="17" s="1"/>
  <c r="G206" i="17"/>
  <c r="G207" i="17"/>
  <c r="G208" i="17"/>
  <c r="G209" i="17"/>
  <c r="G210" i="17"/>
  <c r="G211" i="17"/>
  <c r="G212" i="17"/>
  <c r="G213" i="17"/>
  <c r="H213" i="17" s="1"/>
  <c r="G214" i="17"/>
  <c r="G215" i="17"/>
  <c r="G216" i="17"/>
  <c r="G217" i="17"/>
  <c r="G218" i="17"/>
  <c r="G219" i="17"/>
  <c r="G220" i="17"/>
  <c r="H220" i="17" s="1"/>
  <c r="G221" i="17"/>
  <c r="H221" i="17" s="1"/>
  <c r="G222" i="17"/>
  <c r="G223" i="17"/>
  <c r="G224" i="17"/>
  <c r="G225" i="17"/>
  <c r="G226" i="17"/>
  <c r="G227" i="17"/>
  <c r="G228" i="17"/>
  <c r="H228" i="17" s="1"/>
  <c r="G229" i="17"/>
  <c r="H229" i="17" s="1"/>
  <c r="G230" i="17"/>
  <c r="G231" i="17"/>
  <c r="G232" i="17"/>
  <c r="G233" i="17"/>
  <c r="G234" i="17"/>
  <c r="G235" i="17"/>
  <c r="G236" i="17"/>
  <c r="H236" i="17" s="1"/>
  <c r="G237" i="17"/>
  <c r="H237" i="17" s="1"/>
  <c r="G238" i="17"/>
  <c r="G239" i="17"/>
  <c r="G240" i="17"/>
  <c r="G241" i="17"/>
  <c r="G242" i="17"/>
  <c r="G243" i="17"/>
  <c r="G244" i="17"/>
  <c r="H244" i="17" s="1"/>
  <c r="G245" i="17"/>
  <c r="H245" i="17" s="1"/>
  <c r="G246" i="17"/>
  <c r="H246" i="17" s="1"/>
  <c r="G247" i="17"/>
  <c r="G248" i="17"/>
  <c r="G249" i="17"/>
  <c r="G250" i="17"/>
  <c r="G251" i="17"/>
  <c r="G252" i="17"/>
  <c r="H252" i="17" s="1"/>
  <c r="G253" i="17"/>
  <c r="H253" i="17" s="1"/>
  <c r="G254" i="17"/>
  <c r="G255" i="17"/>
  <c r="G256" i="17"/>
  <c r="H260" i="17"/>
  <c r="H261" i="17"/>
  <c r="H262" i="17"/>
  <c r="H268" i="17"/>
  <c r="H269" i="17"/>
  <c r="H270" i="17"/>
  <c r="H276" i="17"/>
  <c r="H277" i="17"/>
  <c r="H284" i="17"/>
  <c r="H285" i="17"/>
  <c r="H286" i="17"/>
  <c r="H292" i="17"/>
  <c r="H293" i="17"/>
  <c r="H294" i="17"/>
  <c r="H301" i="17"/>
  <c r="H308" i="17"/>
  <c r="H309" i="17"/>
  <c r="H310" i="17"/>
  <c r="H316" i="17"/>
  <c r="H317" i="17"/>
  <c r="H318" i="17"/>
  <c r="H324" i="17"/>
  <c r="H325" i="17"/>
  <c r="H332" i="17"/>
  <c r="H333" i="17"/>
  <c r="H340" i="17"/>
  <c r="H341" i="17"/>
  <c r="H348" i="17"/>
  <c r="H349" i="17"/>
  <c r="H350" i="17"/>
  <c r="H356" i="17"/>
  <c r="H357" i="17"/>
  <c r="G192" i="17"/>
  <c r="G193" i="17"/>
  <c r="G194" i="17"/>
  <c r="G195" i="17"/>
  <c r="G196" i="17"/>
  <c r="G197" i="17"/>
  <c r="H206" i="17"/>
  <c r="H207" i="17"/>
  <c r="H222" i="17"/>
  <c r="H223" i="17"/>
  <c r="H230" i="17"/>
  <c r="H231" i="17"/>
  <c r="H238" i="17"/>
  <c r="H239" i="17"/>
  <c r="H247" i="17"/>
  <c r="H254" i="17"/>
  <c r="H263" i="17"/>
  <c r="H271" i="17"/>
  <c r="H278" i="17"/>
  <c r="H287" i="17"/>
  <c r="H295" i="17"/>
  <c r="H302" i="17"/>
  <c r="H326" i="17"/>
  <c r="H327" i="17"/>
  <c r="H334" i="17"/>
  <c r="H335" i="17"/>
  <c r="H342" i="17"/>
  <c r="H343" i="17"/>
  <c r="G178" i="17"/>
  <c r="G179" i="17"/>
  <c r="G180" i="17"/>
  <c r="H180" i="17" s="1"/>
  <c r="G181" i="17"/>
  <c r="G182" i="17"/>
  <c r="G183" i="17"/>
  <c r="G184" i="17"/>
  <c r="G185" i="17"/>
  <c r="H185" i="17" s="1"/>
  <c r="G186" i="17"/>
  <c r="G187" i="17"/>
  <c r="H187" i="17" s="1"/>
  <c r="G188" i="17"/>
  <c r="H188" i="17" s="1"/>
  <c r="G189" i="17"/>
  <c r="G190" i="17"/>
  <c r="G191" i="17"/>
  <c r="G177" i="17"/>
  <c r="H177" i="17" s="1"/>
  <c r="H184" i="17"/>
  <c r="G168" i="17"/>
  <c r="G169" i="17"/>
  <c r="G170" i="17"/>
  <c r="H170" i="17" s="1"/>
  <c r="G171" i="17"/>
  <c r="H171" i="17" s="1"/>
  <c r="G172" i="17"/>
  <c r="G173" i="17"/>
  <c r="G174" i="17"/>
  <c r="H174" i="17" s="1"/>
  <c r="G175" i="17"/>
  <c r="H175" i="17" s="1"/>
  <c r="G176" i="17"/>
  <c r="H182" i="17"/>
  <c r="H183" i="17"/>
  <c r="H190" i="17"/>
  <c r="H191" i="17"/>
  <c r="H195" i="17"/>
  <c r="H196" i="17"/>
  <c r="H197" i="17"/>
  <c r="H198" i="17"/>
  <c r="H199" i="17"/>
  <c r="H212" i="17"/>
  <c r="H214" i="17"/>
  <c r="H215" i="17"/>
  <c r="H227" i="17"/>
  <c r="H259" i="17"/>
  <c r="H291" i="17"/>
  <c r="H307" i="17"/>
  <c r="H314" i="17"/>
  <c r="H330" i="17"/>
  <c r="H331" i="17"/>
  <c r="H338" i="17"/>
  <c r="H339" i="17"/>
  <c r="H347" i="17"/>
  <c r="H355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H122" i="17" s="1"/>
  <c r="G123" i="17"/>
  <c r="H123" i="17" s="1"/>
  <c r="G124" i="17"/>
  <c r="G125" i="17"/>
  <c r="G126" i="17"/>
  <c r="G127" i="17"/>
  <c r="G128" i="17"/>
  <c r="G129" i="17"/>
  <c r="G130" i="17"/>
  <c r="H130" i="17" s="1"/>
  <c r="G131" i="17"/>
  <c r="H131" i="17" s="1"/>
  <c r="G132" i="17"/>
  <c r="H132" i="17" s="1"/>
  <c r="G133" i="17"/>
  <c r="H133" i="17" s="1"/>
  <c r="G134" i="17"/>
  <c r="G135" i="17"/>
  <c r="G136" i="17"/>
  <c r="G137" i="17"/>
  <c r="H137" i="17" s="1"/>
  <c r="G138" i="17"/>
  <c r="H138" i="17" s="1"/>
  <c r="G139" i="17"/>
  <c r="H139" i="17" s="1"/>
  <c r="G140" i="17"/>
  <c r="H140" i="17" s="1"/>
  <c r="G141" i="17"/>
  <c r="H141" i="17" s="1"/>
  <c r="G142" i="17"/>
  <c r="G143" i="17"/>
  <c r="G144" i="17"/>
  <c r="G145" i="17"/>
  <c r="H145" i="17" s="1"/>
  <c r="G146" i="17"/>
  <c r="H146" i="17" s="1"/>
  <c r="G147" i="17"/>
  <c r="H147" i="17" s="1"/>
  <c r="G148" i="17"/>
  <c r="H148" i="17" s="1"/>
  <c r="G149" i="17"/>
  <c r="H149" i="17" s="1"/>
  <c r="G150" i="17"/>
  <c r="G151" i="17"/>
  <c r="G152" i="17"/>
  <c r="G153" i="17"/>
  <c r="H153" i="17" s="1"/>
  <c r="G154" i="17"/>
  <c r="H154" i="17" s="1"/>
  <c r="G155" i="17"/>
  <c r="H155" i="17" s="1"/>
  <c r="G156" i="17"/>
  <c r="H156" i="17" s="1"/>
  <c r="G157" i="17"/>
  <c r="H157" i="17" s="1"/>
  <c r="G158" i="17"/>
  <c r="G159" i="17"/>
  <c r="G160" i="17"/>
  <c r="G161" i="17"/>
  <c r="G162" i="17"/>
  <c r="H162" i="17" s="1"/>
  <c r="G163" i="17"/>
  <c r="H163" i="17" s="1"/>
  <c r="G164" i="17"/>
  <c r="H164" i="17" s="1"/>
  <c r="G165" i="17"/>
  <c r="H165" i="17" s="1"/>
  <c r="G166" i="17"/>
  <c r="G167" i="17"/>
  <c r="H178" i="17"/>
  <c r="H179" i="17"/>
  <c r="H186" i="17"/>
  <c r="H194" i="17"/>
  <c r="H202" i="17"/>
  <c r="H203" i="17"/>
  <c r="H210" i="17"/>
  <c r="H211" i="17"/>
  <c r="H218" i="17"/>
  <c r="H219" i="17"/>
  <c r="H226" i="17"/>
  <c r="H234" i="17"/>
  <c r="H235" i="17"/>
  <c r="H242" i="17"/>
  <c r="H243" i="17"/>
  <c r="H250" i="17"/>
  <c r="H251" i="17"/>
  <c r="H258" i="17"/>
  <c r="H266" i="17"/>
  <c r="H267" i="17"/>
  <c r="H274" i="17"/>
  <c r="H275" i="17"/>
  <c r="H282" i="17"/>
  <c r="H283" i="17"/>
  <c r="H290" i="17"/>
  <c r="H298" i="17"/>
  <c r="H299" i="17"/>
  <c r="H315" i="17"/>
  <c r="H322" i="17"/>
  <c r="H323" i="17"/>
  <c r="H354" i="17"/>
  <c r="G73" i="17"/>
  <c r="G74" i="17"/>
  <c r="G75" i="17"/>
  <c r="G76" i="17"/>
  <c r="G77" i="17"/>
  <c r="G78" i="17"/>
  <c r="G79" i="17"/>
  <c r="H79" i="17" s="1"/>
  <c r="G80" i="17"/>
  <c r="G81" i="17"/>
  <c r="G82" i="17"/>
  <c r="G83" i="17"/>
  <c r="G84" i="17"/>
  <c r="G85" i="17"/>
  <c r="G86" i="17"/>
  <c r="G87" i="17"/>
  <c r="H87" i="17" s="1"/>
  <c r="G88" i="17"/>
  <c r="H88" i="17" s="1"/>
  <c r="G89" i="17"/>
  <c r="G90" i="17"/>
  <c r="G91" i="17"/>
  <c r="G92" i="17"/>
  <c r="G93" i="17"/>
  <c r="G94" i="17"/>
  <c r="H94" i="17" s="1"/>
  <c r="G95" i="17"/>
  <c r="H95" i="17" s="1"/>
  <c r="G96" i="17"/>
  <c r="H96" i="17" s="1"/>
  <c r="G97" i="17"/>
  <c r="G98" i="17"/>
  <c r="G99" i="17"/>
  <c r="G100" i="17"/>
  <c r="G101" i="17"/>
  <c r="G102" i="17"/>
  <c r="H102" i="17" s="1"/>
  <c r="G103" i="17"/>
  <c r="G104" i="17"/>
  <c r="H104" i="17" s="1"/>
  <c r="G105" i="17"/>
  <c r="G106" i="17"/>
  <c r="G107" i="17"/>
  <c r="H111" i="17"/>
  <c r="H112" i="17"/>
  <c r="H119" i="17"/>
  <c r="H120" i="17"/>
  <c r="H126" i="17"/>
  <c r="H128" i="17"/>
  <c r="H134" i="17"/>
  <c r="H135" i="17"/>
  <c r="H136" i="17"/>
  <c r="H143" i="17"/>
  <c r="H144" i="17"/>
  <c r="H151" i="17"/>
  <c r="H152" i="17"/>
  <c r="H158" i="17"/>
  <c r="H159" i="17"/>
  <c r="H160" i="17"/>
  <c r="H166" i="17"/>
  <c r="H167" i="17"/>
  <c r="H176" i="17"/>
  <c r="H192" i="17"/>
  <c r="H200" i="17"/>
  <c r="H216" i="17"/>
  <c r="H224" i="17"/>
  <c r="H232" i="17"/>
  <c r="H240" i="17"/>
  <c r="H248" i="17"/>
  <c r="H256" i="17"/>
  <c r="H280" i="17"/>
  <c r="H321" i="17"/>
  <c r="H329" i="17"/>
  <c r="H345" i="17"/>
  <c r="H35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73" i="17"/>
  <c r="H80" i="17"/>
  <c r="H81" i="17"/>
  <c r="H89" i="17"/>
  <c r="H97" i="17"/>
  <c r="H105" i="17"/>
  <c r="H113" i="17"/>
  <c r="H121" i="17"/>
  <c r="H129" i="17"/>
  <c r="H161" i="17"/>
  <c r="H168" i="17"/>
  <c r="H169" i="17"/>
  <c r="H193" i="17"/>
  <c r="H201" i="17"/>
  <c r="H208" i="17"/>
  <c r="H209" i="17"/>
  <c r="H217" i="17"/>
  <c r="H225" i="17"/>
  <c r="H233" i="17"/>
  <c r="H241" i="17"/>
  <c r="H249" i="17"/>
  <c r="H257" i="17"/>
  <c r="H265" i="17"/>
  <c r="H273" i="17"/>
  <c r="H281" i="17"/>
  <c r="H289" i="17"/>
  <c r="H297" i="17"/>
  <c r="H305" i="17"/>
  <c r="H313" i="17"/>
  <c r="H337" i="17"/>
  <c r="H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H68" i="17" s="1"/>
  <c r="G69" i="17"/>
  <c r="H69" i="17" s="1"/>
  <c r="G70" i="17"/>
  <c r="H70" i="17" s="1"/>
  <c r="G71" i="17"/>
  <c r="H71" i="17" s="1"/>
  <c r="G72" i="17"/>
  <c r="H72" i="17" s="1"/>
  <c r="H74" i="17"/>
  <c r="H75" i="17"/>
  <c r="H76" i="17"/>
  <c r="H77" i="17"/>
  <c r="H78" i="17"/>
  <c r="H82" i="17"/>
  <c r="H83" i="17"/>
  <c r="H84" i="17"/>
  <c r="H85" i="17"/>
  <c r="H86" i="17"/>
  <c r="H90" i="17"/>
  <c r="H91" i="17"/>
  <c r="H92" i="17"/>
  <c r="H93" i="17"/>
  <c r="H98" i="17"/>
  <c r="H99" i="17"/>
  <c r="H100" i="17"/>
  <c r="H101" i="17"/>
  <c r="H103" i="17"/>
  <c r="H106" i="17"/>
  <c r="H107" i="17"/>
  <c r="H108" i="17"/>
  <c r="H109" i="17"/>
  <c r="H110" i="17"/>
  <c r="H114" i="17"/>
  <c r="H115" i="17"/>
  <c r="H116" i="17"/>
  <c r="H117" i="17"/>
  <c r="H118" i="17"/>
  <c r="H124" i="17"/>
  <c r="H125" i="17"/>
  <c r="H127" i="17"/>
  <c r="H142" i="17"/>
  <c r="H150" i="17"/>
  <c r="H172" i="17"/>
  <c r="H173" i="17"/>
  <c r="H181" i="17"/>
  <c r="H189" i="17"/>
  <c r="H306" i="17"/>
  <c r="G3" i="17"/>
  <c r="N300" i="17"/>
  <c r="L300" i="17"/>
  <c r="J300" i="17"/>
  <c r="N255" i="17"/>
  <c r="L255" i="17"/>
  <c r="J255" i="17"/>
  <c r="J346" i="17"/>
  <c r="L346" i="17"/>
  <c r="N346" i="17"/>
  <c r="X50" i="17"/>
  <c r="X58" i="17"/>
  <c r="X66" i="17"/>
  <c r="X91" i="17"/>
  <c r="X97" i="17"/>
  <c r="X114" i="17"/>
  <c r="X121" i="17"/>
  <c r="X137" i="17"/>
  <c r="X139" i="17"/>
  <c r="W87" i="17"/>
  <c r="X87" i="17" s="1"/>
  <c r="W88" i="17"/>
  <c r="X88" i="17" s="1"/>
  <c r="W89" i="17"/>
  <c r="X89" i="17" s="1"/>
  <c r="W90" i="17"/>
  <c r="X90" i="17" s="1"/>
  <c r="W91" i="17"/>
  <c r="W92" i="17"/>
  <c r="X92" i="17" s="1"/>
  <c r="W93" i="17"/>
  <c r="X93" i="17" s="1"/>
  <c r="W94" i="17"/>
  <c r="X94" i="17" s="1"/>
  <c r="W95" i="17"/>
  <c r="X95" i="17" s="1"/>
  <c r="W96" i="17"/>
  <c r="X96" i="17" s="1"/>
  <c r="W97" i="17"/>
  <c r="W98" i="17"/>
  <c r="X98" i="17" s="1"/>
  <c r="W99" i="17"/>
  <c r="X99" i="17" s="1"/>
  <c r="W100" i="17"/>
  <c r="X100" i="17" s="1"/>
  <c r="W101" i="17"/>
  <c r="X101" i="17" s="1"/>
  <c r="W102" i="17"/>
  <c r="X102" i="17" s="1"/>
  <c r="W103" i="17"/>
  <c r="X103" i="17" s="1"/>
  <c r="W104" i="17"/>
  <c r="X104" i="17" s="1"/>
  <c r="W105" i="17"/>
  <c r="X105" i="17" s="1"/>
  <c r="W106" i="17"/>
  <c r="X106" i="17" s="1"/>
  <c r="W107" i="17"/>
  <c r="X107" i="17" s="1"/>
  <c r="W108" i="17"/>
  <c r="X108" i="17" s="1"/>
  <c r="W109" i="17"/>
  <c r="X109" i="17" s="1"/>
  <c r="W110" i="17"/>
  <c r="X110" i="17" s="1"/>
  <c r="W111" i="17"/>
  <c r="X111" i="17" s="1"/>
  <c r="W112" i="17"/>
  <c r="X112" i="17" s="1"/>
  <c r="W113" i="17"/>
  <c r="X113" i="17" s="1"/>
  <c r="W114" i="17"/>
  <c r="W115" i="17"/>
  <c r="X115" i="17" s="1"/>
  <c r="W116" i="17"/>
  <c r="X116" i="17" s="1"/>
  <c r="W117" i="17"/>
  <c r="X117" i="17" s="1"/>
  <c r="W118" i="17"/>
  <c r="X118" i="17" s="1"/>
  <c r="W119" i="17"/>
  <c r="X119" i="17" s="1"/>
  <c r="W120" i="17"/>
  <c r="X120" i="17" s="1"/>
  <c r="W121" i="17"/>
  <c r="W122" i="17"/>
  <c r="X122" i="17" s="1"/>
  <c r="W123" i="17"/>
  <c r="X123" i="17" s="1"/>
  <c r="W124" i="17"/>
  <c r="X124" i="17" s="1"/>
  <c r="W125" i="17"/>
  <c r="X125" i="17" s="1"/>
  <c r="W126" i="17"/>
  <c r="X126" i="17" s="1"/>
  <c r="W127" i="17"/>
  <c r="X127" i="17" s="1"/>
  <c r="W128" i="17"/>
  <c r="X128" i="17" s="1"/>
  <c r="W129" i="17"/>
  <c r="X129" i="17" s="1"/>
  <c r="W130" i="17"/>
  <c r="X130" i="17" s="1"/>
  <c r="W131" i="17"/>
  <c r="X131" i="17" s="1"/>
  <c r="W132" i="17"/>
  <c r="X132" i="17" s="1"/>
  <c r="W133" i="17"/>
  <c r="X133" i="17" s="1"/>
  <c r="W134" i="17"/>
  <c r="X134" i="17" s="1"/>
  <c r="W135" i="17"/>
  <c r="X135" i="17" s="1"/>
  <c r="W136" i="17"/>
  <c r="X136" i="17" s="1"/>
  <c r="W137" i="17"/>
  <c r="W138" i="17"/>
  <c r="X138" i="17" s="1"/>
  <c r="W139" i="17"/>
  <c r="W140" i="17"/>
  <c r="X140" i="17" s="1"/>
  <c r="W141" i="17"/>
  <c r="X141" i="17" s="1"/>
  <c r="W142" i="17"/>
  <c r="X142" i="17" s="1"/>
  <c r="W143" i="17"/>
  <c r="X143" i="17" s="1"/>
  <c r="W144" i="17"/>
  <c r="X144" i="17" s="1"/>
  <c r="W145" i="17"/>
  <c r="X145" i="17" s="1"/>
  <c r="W146" i="17"/>
  <c r="X146" i="17" s="1"/>
  <c r="W81" i="17"/>
  <c r="X81" i="17" s="1"/>
  <c r="W82" i="17"/>
  <c r="X82" i="17" s="1"/>
  <c r="W83" i="17"/>
  <c r="X83" i="17" s="1"/>
  <c r="W84" i="17"/>
  <c r="X84" i="17" s="1"/>
  <c r="W85" i="17"/>
  <c r="X85" i="17" s="1"/>
  <c r="W86" i="17"/>
  <c r="X86" i="17" s="1"/>
  <c r="W5" i="17"/>
  <c r="X5" i="17" s="1"/>
  <c r="W6" i="17"/>
  <c r="X6" i="17" s="1"/>
  <c r="W7" i="17"/>
  <c r="X7" i="17" s="1"/>
  <c r="W8" i="17"/>
  <c r="X8" i="17" s="1"/>
  <c r="W9" i="17"/>
  <c r="X9" i="17" s="1"/>
  <c r="W10" i="17"/>
  <c r="X10" i="17" s="1"/>
  <c r="W11" i="17"/>
  <c r="X11" i="17" s="1"/>
  <c r="W12" i="17"/>
  <c r="X12" i="17" s="1"/>
  <c r="W13" i="17"/>
  <c r="X13" i="17" s="1"/>
  <c r="W14" i="17"/>
  <c r="X14" i="17" s="1"/>
  <c r="W15" i="17"/>
  <c r="X15" i="17" s="1"/>
  <c r="W16" i="17"/>
  <c r="X16" i="17" s="1"/>
  <c r="W17" i="17"/>
  <c r="X17" i="17" s="1"/>
  <c r="W18" i="17"/>
  <c r="X18" i="17" s="1"/>
  <c r="W19" i="17"/>
  <c r="X19" i="17" s="1"/>
  <c r="W20" i="17"/>
  <c r="X20" i="17" s="1"/>
  <c r="W21" i="17"/>
  <c r="X21" i="17" s="1"/>
  <c r="W22" i="17"/>
  <c r="X22" i="17" s="1"/>
  <c r="W23" i="17"/>
  <c r="X23" i="17" s="1"/>
  <c r="W24" i="17"/>
  <c r="X24" i="17" s="1"/>
  <c r="W25" i="17"/>
  <c r="X25" i="17" s="1"/>
  <c r="W26" i="17"/>
  <c r="X26" i="17" s="1"/>
  <c r="W27" i="17"/>
  <c r="X27" i="17" s="1"/>
  <c r="W28" i="17"/>
  <c r="X28" i="17" s="1"/>
  <c r="W29" i="17"/>
  <c r="X29" i="17" s="1"/>
  <c r="W30" i="17"/>
  <c r="X30" i="17" s="1"/>
  <c r="W31" i="17"/>
  <c r="X31" i="17" s="1"/>
  <c r="W32" i="17"/>
  <c r="X32" i="17" s="1"/>
  <c r="W33" i="17"/>
  <c r="X33" i="17" s="1"/>
  <c r="W34" i="17"/>
  <c r="X34" i="17" s="1"/>
  <c r="W35" i="17"/>
  <c r="X35" i="17" s="1"/>
  <c r="W36" i="17"/>
  <c r="X36" i="17" s="1"/>
  <c r="W37" i="17"/>
  <c r="X37" i="17" s="1"/>
  <c r="W38" i="17"/>
  <c r="X38" i="17" s="1"/>
  <c r="W39" i="17"/>
  <c r="X39" i="17" s="1"/>
  <c r="W40" i="17"/>
  <c r="X40" i="17" s="1"/>
  <c r="W41" i="17"/>
  <c r="X41" i="17" s="1"/>
  <c r="W42" i="17"/>
  <c r="X42" i="17" s="1"/>
  <c r="W43" i="17"/>
  <c r="X43" i="17" s="1"/>
  <c r="W44" i="17"/>
  <c r="X44" i="17" s="1"/>
  <c r="W45" i="17"/>
  <c r="X45" i="17" s="1"/>
  <c r="W46" i="17"/>
  <c r="X46" i="17" s="1"/>
  <c r="W47" i="17"/>
  <c r="X47" i="17" s="1"/>
  <c r="W48" i="17"/>
  <c r="X48" i="17" s="1"/>
  <c r="W49" i="17"/>
  <c r="X49" i="17" s="1"/>
  <c r="W50" i="17"/>
  <c r="W51" i="17"/>
  <c r="X51" i="17" s="1"/>
  <c r="W52" i="17"/>
  <c r="X52" i="17" s="1"/>
  <c r="W53" i="17"/>
  <c r="X53" i="17" s="1"/>
  <c r="W54" i="17"/>
  <c r="X54" i="17" s="1"/>
  <c r="W55" i="17"/>
  <c r="X55" i="17" s="1"/>
  <c r="W56" i="17"/>
  <c r="X56" i="17" s="1"/>
  <c r="W57" i="17"/>
  <c r="X57" i="17" s="1"/>
  <c r="W58" i="17"/>
  <c r="W59" i="17"/>
  <c r="X59" i="17" s="1"/>
  <c r="W60" i="17"/>
  <c r="X60" i="17" s="1"/>
  <c r="W61" i="17"/>
  <c r="X61" i="17" s="1"/>
  <c r="W62" i="17"/>
  <c r="X62" i="17" s="1"/>
  <c r="W63" i="17"/>
  <c r="X63" i="17" s="1"/>
  <c r="W64" i="17"/>
  <c r="X64" i="17" s="1"/>
  <c r="W65" i="17"/>
  <c r="X65" i="17" s="1"/>
  <c r="W66" i="17"/>
  <c r="W67" i="17"/>
  <c r="X67" i="17" s="1"/>
  <c r="W68" i="17"/>
  <c r="X68" i="17" s="1"/>
  <c r="W69" i="17"/>
  <c r="X69" i="17" s="1"/>
  <c r="W70" i="17"/>
  <c r="X70" i="17" s="1"/>
  <c r="W71" i="17"/>
  <c r="X71" i="17" s="1"/>
  <c r="W72" i="17"/>
  <c r="X72" i="17" s="1"/>
  <c r="W73" i="17"/>
  <c r="X73" i="17" s="1"/>
  <c r="W74" i="17"/>
  <c r="X74" i="17" s="1"/>
  <c r="W75" i="17"/>
  <c r="X75" i="17" s="1"/>
  <c r="W76" i="17"/>
  <c r="X76" i="17" s="1"/>
  <c r="W77" i="17"/>
  <c r="X77" i="17" s="1"/>
  <c r="W78" i="17"/>
  <c r="X78" i="17" s="1"/>
  <c r="W79" i="17"/>
  <c r="X79" i="17" s="1"/>
  <c r="W80" i="17"/>
  <c r="X80" i="17" s="1"/>
  <c r="W4" i="17"/>
  <c r="X4" i="17" s="1"/>
  <c r="W3" i="17"/>
  <c r="X3" i="17" s="1"/>
  <c r="Y3" i="17"/>
  <c r="Y4" i="17"/>
  <c r="Z4" i="17" s="1"/>
  <c r="Y5" i="17"/>
  <c r="Y6" i="17"/>
  <c r="Z6" i="17" s="1"/>
  <c r="Y7" i="17"/>
  <c r="Z7" i="17" s="1"/>
  <c r="Y8" i="17"/>
  <c r="Z8" i="17" s="1"/>
  <c r="Y9" i="17"/>
  <c r="Z9" i="17" s="1"/>
  <c r="Y10" i="17"/>
  <c r="Z10" i="17" s="1"/>
  <c r="Y11" i="17"/>
  <c r="Y12" i="17"/>
  <c r="Y13" i="17"/>
  <c r="Y14" i="17"/>
  <c r="Z14" i="17" s="1"/>
  <c r="Y15" i="17"/>
  <c r="Y16" i="17"/>
  <c r="Z16" i="17" s="1"/>
  <c r="Y17" i="17"/>
  <c r="Z17" i="17" s="1"/>
  <c r="Y18" i="17"/>
  <c r="Z18" i="17" s="1"/>
  <c r="Y19" i="17"/>
  <c r="Y20" i="17"/>
  <c r="Z20" i="17" s="1"/>
  <c r="Y21" i="17"/>
  <c r="Y22" i="17"/>
  <c r="Z22" i="17" s="1"/>
  <c r="Y23" i="17"/>
  <c r="Z23" i="17" s="1"/>
  <c r="Y24" i="17"/>
  <c r="Z24" i="17" s="1"/>
  <c r="Y25" i="17"/>
  <c r="Z25" i="17" s="1"/>
  <c r="Y26" i="17"/>
  <c r="Z26" i="17" s="1"/>
  <c r="Y27" i="17"/>
  <c r="Y28" i="17"/>
  <c r="Z28" i="17" s="1"/>
  <c r="Y29" i="17"/>
  <c r="Z29" i="17" s="1"/>
  <c r="Y30" i="17"/>
  <c r="Z30" i="17" s="1"/>
  <c r="Y31" i="17"/>
  <c r="Z31" i="17" s="1"/>
  <c r="Y32" i="17"/>
  <c r="Z32" i="17" s="1"/>
  <c r="Y33" i="17"/>
  <c r="Z33" i="17" s="1"/>
  <c r="Y34" i="17"/>
  <c r="Z34" i="17" s="1"/>
  <c r="Y35" i="17"/>
  <c r="Y36" i="17"/>
  <c r="Y37" i="17"/>
  <c r="Y38" i="17"/>
  <c r="Z38" i="17" s="1"/>
  <c r="Y39" i="17"/>
  <c r="Z39" i="17" s="1"/>
  <c r="Y40" i="17"/>
  <c r="Z40" i="17" s="1"/>
  <c r="Y41" i="17"/>
  <c r="Z41" i="17" s="1"/>
  <c r="Y42" i="17"/>
  <c r="Z42" i="17" s="1"/>
  <c r="Y43" i="17"/>
  <c r="Y44" i="17"/>
  <c r="Z44" i="17" s="1"/>
  <c r="Y45" i="17"/>
  <c r="Y46" i="17"/>
  <c r="Z46" i="17" s="1"/>
  <c r="Y47" i="17"/>
  <c r="Y48" i="17"/>
  <c r="Z48" i="17" s="1"/>
  <c r="Y49" i="17"/>
  <c r="Z49" i="17" s="1"/>
  <c r="Y50" i="17"/>
  <c r="Z50" i="17" s="1"/>
  <c r="Y51" i="17"/>
  <c r="Y52" i="17"/>
  <c r="Z52" i="17" s="1"/>
  <c r="Y53" i="17"/>
  <c r="Z53" i="17" s="1"/>
  <c r="Y54" i="17"/>
  <c r="Z54" i="17" s="1"/>
  <c r="Y55" i="17"/>
  <c r="Z55" i="17" s="1"/>
  <c r="Y56" i="17"/>
  <c r="Z56" i="17" s="1"/>
  <c r="Y57" i="17"/>
  <c r="Z57" i="17" s="1"/>
  <c r="Y58" i="17"/>
  <c r="Z58" i="17" s="1"/>
  <c r="Y59" i="17"/>
  <c r="Y60" i="17"/>
  <c r="Y61" i="17"/>
  <c r="Y62" i="17"/>
  <c r="Z62" i="17" s="1"/>
  <c r="Y63" i="17"/>
  <c r="Y64" i="17"/>
  <c r="Z64" i="17" s="1"/>
  <c r="Y65" i="17"/>
  <c r="Z65" i="17" s="1"/>
  <c r="Y66" i="17"/>
  <c r="Z66" i="17" s="1"/>
  <c r="Y67" i="17"/>
  <c r="Z67" i="17" s="1"/>
  <c r="Y68" i="17"/>
  <c r="Y69" i="17"/>
  <c r="Z69" i="17" s="1"/>
  <c r="Y70" i="17"/>
  <c r="Z70" i="17" s="1"/>
  <c r="Y71" i="17"/>
  <c r="Z71" i="17" s="1"/>
  <c r="Y72" i="17"/>
  <c r="Z72" i="17" s="1"/>
  <c r="Y73" i="17"/>
  <c r="Z73" i="17" s="1"/>
  <c r="Y74" i="17"/>
  <c r="Z74" i="17" s="1"/>
  <c r="Y75" i="17"/>
  <c r="Y76" i="17"/>
  <c r="Y77" i="17"/>
  <c r="Z77" i="17" s="1"/>
  <c r="Y78" i="17"/>
  <c r="Z78" i="17" s="1"/>
  <c r="Y79" i="17"/>
  <c r="Z79" i="17" s="1"/>
  <c r="Y80" i="17"/>
  <c r="Z80" i="17" s="1"/>
  <c r="Y81" i="17"/>
  <c r="Z81" i="17" s="1"/>
  <c r="Y82" i="17"/>
  <c r="Z82" i="17" s="1"/>
  <c r="Y83" i="17"/>
  <c r="Y84" i="17"/>
  <c r="Y85" i="17"/>
  <c r="Y86" i="17"/>
  <c r="Z86" i="17" s="1"/>
  <c r="Y87" i="17"/>
  <c r="Z87" i="17" s="1"/>
  <c r="Y88" i="17"/>
  <c r="Z88" i="17" s="1"/>
  <c r="Y89" i="17"/>
  <c r="Z89" i="17" s="1"/>
  <c r="Y90" i="17"/>
  <c r="Z90" i="17" s="1"/>
  <c r="Y91" i="17"/>
  <c r="Z91" i="17" s="1"/>
  <c r="Y92" i="17"/>
  <c r="Y93" i="17"/>
  <c r="Z93" i="17" s="1"/>
  <c r="Y94" i="17"/>
  <c r="Z94" i="17" s="1"/>
  <c r="Y95" i="17"/>
  <c r="Z95" i="17" s="1"/>
  <c r="Y96" i="17"/>
  <c r="Z96" i="17" s="1"/>
  <c r="Y97" i="17"/>
  <c r="Z97" i="17" s="1"/>
  <c r="Y98" i="17"/>
  <c r="Z98" i="17" s="1"/>
  <c r="Y99" i="17"/>
  <c r="Y100" i="17"/>
  <c r="Y101" i="17"/>
  <c r="Z101" i="17" s="1"/>
  <c r="Y102" i="17"/>
  <c r="Z102" i="17" s="1"/>
  <c r="Y103" i="17"/>
  <c r="Z103" i="17" s="1"/>
  <c r="Y104" i="17"/>
  <c r="Z104" i="17" s="1"/>
  <c r="Y105" i="17"/>
  <c r="Z105" i="17" s="1"/>
  <c r="Y106" i="17"/>
  <c r="Z106" i="17" s="1"/>
  <c r="Y107" i="17"/>
  <c r="Z107" i="17" s="1"/>
  <c r="Y108" i="17"/>
  <c r="Y109" i="17"/>
  <c r="Y110" i="17"/>
  <c r="Z110" i="17" s="1"/>
  <c r="Y111" i="17"/>
  <c r="Z111" i="17" s="1"/>
  <c r="Y112" i="17"/>
  <c r="Z112" i="17" s="1"/>
  <c r="Y113" i="17"/>
  <c r="Z113" i="17" s="1"/>
  <c r="Y114" i="17"/>
  <c r="Z114" i="17" s="1"/>
  <c r="Y115" i="17"/>
  <c r="Z115" i="17" s="1"/>
  <c r="Y116" i="17"/>
  <c r="Z116" i="17" s="1"/>
  <c r="Y117" i="17"/>
  <c r="Y118" i="17"/>
  <c r="Z118" i="17" s="1"/>
  <c r="Y119" i="17"/>
  <c r="Y120" i="17"/>
  <c r="Z120" i="17" s="1"/>
  <c r="Y121" i="17"/>
  <c r="Z121" i="17" s="1"/>
  <c r="Y122" i="17"/>
  <c r="Z122" i="17" s="1"/>
  <c r="Y123" i="17"/>
  <c r="Y124" i="17"/>
  <c r="Y125" i="17"/>
  <c r="Z125" i="17" s="1"/>
  <c r="Y126" i="17"/>
  <c r="Z126" i="17" s="1"/>
  <c r="Y127" i="17"/>
  <c r="Z127" i="17" s="1"/>
  <c r="Y128" i="17"/>
  <c r="Z128" i="17" s="1"/>
  <c r="Y129" i="17"/>
  <c r="Z129" i="17" s="1"/>
  <c r="Y130" i="17"/>
  <c r="Z130" i="17" s="1"/>
  <c r="Y131" i="17"/>
  <c r="Y132" i="17"/>
  <c r="Y133" i="17"/>
  <c r="Y134" i="17"/>
  <c r="Z134" i="17" s="1"/>
  <c r="Y135" i="17"/>
  <c r="Z135" i="17" s="1"/>
  <c r="Y136" i="17"/>
  <c r="Z136" i="17" s="1"/>
  <c r="Y137" i="17"/>
  <c r="Z137" i="17" s="1"/>
  <c r="Y138" i="17"/>
  <c r="Z138" i="17" s="1"/>
  <c r="Y139" i="17"/>
  <c r="Z139" i="17" s="1"/>
  <c r="Y140" i="17"/>
  <c r="Y141" i="17"/>
  <c r="Z141" i="17" s="1"/>
  <c r="Y142" i="17"/>
  <c r="Z142" i="17" s="1"/>
  <c r="Y143" i="17"/>
  <c r="Z143" i="17" s="1"/>
  <c r="Y144" i="17"/>
  <c r="Z144" i="17" s="1"/>
  <c r="Y145" i="17"/>
  <c r="Z145" i="17" s="1"/>
  <c r="Y146" i="17"/>
  <c r="Z146" i="17" s="1"/>
  <c r="AD157" i="17"/>
  <c r="AB157" i="17"/>
  <c r="Z157" i="17"/>
  <c r="AC88" i="17"/>
  <c r="AD88" i="17" s="1"/>
  <c r="Z5" i="17"/>
  <c r="Z11" i="17"/>
  <c r="Z12" i="17"/>
  <c r="Z13" i="17"/>
  <c r="Z15" i="17"/>
  <c r="Z19" i="17"/>
  <c r="Z21" i="17"/>
  <c r="Z27" i="17"/>
  <c r="Z35" i="17"/>
  <c r="Z36" i="17"/>
  <c r="Z37" i="17"/>
  <c r="Z43" i="17"/>
  <c r="Z45" i="17"/>
  <c r="Z47" i="17"/>
  <c r="Z51" i="17"/>
  <c r="Z59" i="17"/>
  <c r="Z60" i="17"/>
  <c r="Z61" i="17"/>
  <c r="Z63" i="17"/>
  <c r="Z68" i="17"/>
  <c r="Z75" i="17"/>
  <c r="Z76" i="17"/>
  <c r="Z83" i="17"/>
  <c r="Z84" i="17"/>
  <c r="Z85" i="17"/>
  <c r="Z92" i="17"/>
  <c r="Z99" i="17"/>
  <c r="Z100" i="17"/>
  <c r="Z108" i="17"/>
  <c r="Z109" i="17"/>
  <c r="Z117" i="17"/>
  <c r="Z119" i="17"/>
  <c r="Z123" i="17"/>
  <c r="Z124" i="17"/>
  <c r="Z131" i="17"/>
  <c r="Z132" i="17"/>
  <c r="Z133" i="17"/>
  <c r="Z140" i="17"/>
  <c r="Z3" i="17"/>
  <c r="AC127" i="17"/>
  <c r="AD127" i="17" s="1"/>
  <c r="AC128" i="17"/>
  <c r="AD128" i="17" s="1"/>
  <c r="AC129" i="17"/>
  <c r="AD129" i="17" s="1"/>
  <c r="AC130" i="17"/>
  <c r="AD130" i="17" s="1"/>
  <c r="AC131" i="17"/>
  <c r="AD131" i="17" s="1"/>
  <c r="AC132" i="17"/>
  <c r="AD132" i="17" s="1"/>
  <c r="AC133" i="17"/>
  <c r="AD133" i="17" s="1"/>
  <c r="AC134" i="17"/>
  <c r="AD134" i="17" s="1"/>
  <c r="AC135" i="17"/>
  <c r="AD135" i="17" s="1"/>
  <c r="AC136" i="17"/>
  <c r="AD136" i="17" s="1"/>
  <c r="AC137" i="17"/>
  <c r="AD137" i="17" s="1"/>
  <c r="AC138" i="17"/>
  <c r="AD138" i="17" s="1"/>
  <c r="AC139" i="17"/>
  <c r="AD139" i="17" s="1"/>
  <c r="AC140" i="17"/>
  <c r="AD140" i="17" s="1"/>
  <c r="AC141" i="17"/>
  <c r="AD141" i="17" s="1"/>
  <c r="AC142" i="17"/>
  <c r="AD142" i="17" s="1"/>
  <c r="AC143" i="17"/>
  <c r="AD143" i="17" s="1"/>
  <c r="AC144" i="17"/>
  <c r="AD144" i="17" s="1"/>
  <c r="AC145" i="17"/>
  <c r="AD145" i="17" s="1"/>
  <c r="AC146" i="17"/>
  <c r="AD146" i="17" s="1"/>
  <c r="AC102" i="17"/>
  <c r="AD102" i="17" s="1"/>
  <c r="AC103" i="17"/>
  <c r="AD103" i="17" s="1"/>
  <c r="AC104" i="17"/>
  <c r="AD104" i="17" s="1"/>
  <c r="AC105" i="17"/>
  <c r="AD105" i="17" s="1"/>
  <c r="AC106" i="17"/>
  <c r="AD106" i="17" s="1"/>
  <c r="AC107" i="17"/>
  <c r="AD107" i="17" s="1"/>
  <c r="AC108" i="17"/>
  <c r="AD108" i="17" s="1"/>
  <c r="AC109" i="17"/>
  <c r="AD109" i="17" s="1"/>
  <c r="AC110" i="17"/>
  <c r="AD110" i="17" s="1"/>
  <c r="AC111" i="17"/>
  <c r="AD111" i="17" s="1"/>
  <c r="AC112" i="17"/>
  <c r="AD112" i="17" s="1"/>
  <c r="AC113" i="17"/>
  <c r="AD113" i="17" s="1"/>
  <c r="AC114" i="17"/>
  <c r="AD114" i="17" s="1"/>
  <c r="AC115" i="17"/>
  <c r="AD115" i="17" s="1"/>
  <c r="AC116" i="17"/>
  <c r="AD116" i="17" s="1"/>
  <c r="AC117" i="17"/>
  <c r="AD117" i="17" s="1"/>
  <c r="AC118" i="17"/>
  <c r="AD118" i="17" s="1"/>
  <c r="AC119" i="17"/>
  <c r="AD119" i="17" s="1"/>
  <c r="AC120" i="17"/>
  <c r="AD120" i="17" s="1"/>
  <c r="AC121" i="17"/>
  <c r="AD121" i="17" s="1"/>
  <c r="AC122" i="17"/>
  <c r="AD122" i="17" s="1"/>
  <c r="AC123" i="17"/>
  <c r="AD123" i="17" s="1"/>
  <c r="AC124" i="17"/>
  <c r="AD124" i="17" s="1"/>
  <c r="AC125" i="17"/>
  <c r="AD125" i="17" s="1"/>
  <c r="AC126" i="17"/>
  <c r="AD126" i="17" s="1"/>
  <c r="AC89" i="17"/>
  <c r="AD89" i="17" s="1"/>
  <c r="AC90" i="17"/>
  <c r="AD90" i="17" s="1"/>
  <c r="AC91" i="17"/>
  <c r="AD91" i="17" s="1"/>
  <c r="AC92" i="17"/>
  <c r="AD92" i="17" s="1"/>
  <c r="AC93" i="17"/>
  <c r="AD93" i="17" s="1"/>
  <c r="AC94" i="17"/>
  <c r="AD94" i="17" s="1"/>
  <c r="AC95" i="17"/>
  <c r="AD95" i="17" s="1"/>
  <c r="AC96" i="17"/>
  <c r="AD96" i="17" s="1"/>
  <c r="AC97" i="17"/>
  <c r="AD97" i="17" s="1"/>
  <c r="AC98" i="17"/>
  <c r="AD98" i="17" s="1"/>
  <c r="AC99" i="17"/>
  <c r="AD99" i="17" s="1"/>
  <c r="AC100" i="17"/>
  <c r="AD100" i="17" s="1"/>
  <c r="AC101" i="17"/>
  <c r="AD101" i="17" s="1"/>
  <c r="AC84" i="17"/>
  <c r="AD84" i="17" s="1"/>
  <c r="AC85" i="17"/>
  <c r="AD85" i="17" s="1"/>
  <c r="AC86" i="17"/>
  <c r="AD86" i="17" s="1"/>
  <c r="AC87" i="17"/>
  <c r="AD87" i="17" s="1"/>
  <c r="AC83" i="17"/>
  <c r="AD83" i="17" s="1"/>
  <c r="AC81" i="17"/>
  <c r="AD81" i="17" s="1"/>
  <c r="AC82" i="17"/>
  <c r="AD82" i="17" s="1"/>
  <c r="AC80" i="17"/>
  <c r="AD80" i="17" s="1"/>
  <c r="AC67" i="17"/>
  <c r="AD67" i="17" s="1"/>
  <c r="AC68" i="17"/>
  <c r="AD68" i="17" s="1"/>
  <c r="AC69" i="17"/>
  <c r="AD69" i="17" s="1"/>
  <c r="AC70" i="17"/>
  <c r="AD70" i="17" s="1"/>
  <c r="AC71" i="17"/>
  <c r="AD71" i="17" s="1"/>
  <c r="AC72" i="17"/>
  <c r="AD72" i="17" s="1"/>
  <c r="AC73" i="17"/>
  <c r="AD73" i="17" s="1"/>
  <c r="AC74" i="17"/>
  <c r="AD74" i="17" s="1"/>
  <c r="AC75" i="17"/>
  <c r="AD75" i="17" s="1"/>
  <c r="AC76" i="17"/>
  <c r="AD76" i="17" s="1"/>
  <c r="AC77" i="17"/>
  <c r="AD77" i="17" s="1"/>
  <c r="AC78" i="17"/>
  <c r="AD78" i="17" s="1"/>
  <c r="AC79" i="17"/>
  <c r="AD79" i="17" s="1"/>
  <c r="AC57" i="17"/>
  <c r="AD57" i="17" s="1"/>
  <c r="AC58" i="17"/>
  <c r="AD58" i="17" s="1"/>
  <c r="AC59" i="17"/>
  <c r="AD59" i="17" s="1"/>
  <c r="AC60" i="17"/>
  <c r="AD60" i="17" s="1"/>
  <c r="AC61" i="17"/>
  <c r="AD61" i="17" s="1"/>
  <c r="AC62" i="17"/>
  <c r="AD62" i="17" s="1"/>
  <c r="AC63" i="17"/>
  <c r="AD63" i="17" s="1"/>
  <c r="AC64" i="17"/>
  <c r="AD64" i="17" s="1"/>
  <c r="AC65" i="17"/>
  <c r="AD65" i="17" s="1"/>
  <c r="AC66" i="17"/>
  <c r="AD66" i="17" s="1"/>
  <c r="AC49" i="17"/>
  <c r="AD49" i="17" s="1"/>
  <c r="AC50" i="17"/>
  <c r="AD50" i="17" s="1"/>
  <c r="AC51" i="17"/>
  <c r="AD51" i="17" s="1"/>
  <c r="AC52" i="17"/>
  <c r="AD52" i="17" s="1"/>
  <c r="AC53" i="17"/>
  <c r="AD53" i="17" s="1"/>
  <c r="AC54" i="17"/>
  <c r="AD54" i="17" s="1"/>
  <c r="AC55" i="17"/>
  <c r="AD55" i="17" s="1"/>
  <c r="AC56" i="17"/>
  <c r="AD56" i="17" s="1"/>
  <c r="AC42" i="17"/>
  <c r="AD42" i="17" s="1"/>
  <c r="AC43" i="17"/>
  <c r="AD43" i="17" s="1"/>
  <c r="AC44" i="17"/>
  <c r="AD44" i="17" s="1"/>
  <c r="AC45" i="17"/>
  <c r="AD45" i="17" s="1"/>
  <c r="AC46" i="17"/>
  <c r="AD46" i="17" s="1"/>
  <c r="AC47" i="17"/>
  <c r="AD47" i="17" s="1"/>
  <c r="AC48" i="17"/>
  <c r="AD48" i="17" s="1"/>
  <c r="AC36" i="17"/>
  <c r="AD36" i="17" s="1"/>
  <c r="AC37" i="17"/>
  <c r="AD37" i="17" s="1"/>
  <c r="AC38" i="17"/>
  <c r="AD38" i="17" s="1"/>
  <c r="AC39" i="17"/>
  <c r="AD39" i="17" s="1"/>
  <c r="AC40" i="17"/>
  <c r="AD40" i="17" s="1"/>
  <c r="AC41" i="17"/>
  <c r="AD41" i="17" s="1"/>
  <c r="AC15" i="17"/>
  <c r="AD15" i="17" s="1"/>
  <c r="AC16" i="17"/>
  <c r="AD16" i="17" s="1"/>
  <c r="AC17" i="17"/>
  <c r="AD17" i="17" s="1"/>
  <c r="AC18" i="17"/>
  <c r="AD18" i="17" s="1"/>
  <c r="AC19" i="17"/>
  <c r="AD19" i="17" s="1"/>
  <c r="AC20" i="17"/>
  <c r="AD20" i="17" s="1"/>
  <c r="AC21" i="17"/>
  <c r="AD21" i="17" s="1"/>
  <c r="AC22" i="17"/>
  <c r="AD22" i="17" s="1"/>
  <c r="AC23" i="17"/>
  <c r="AD23" i="17" s="1"/>
  <c r="AC24" i="17"/>
  <c r="AD24" i="17" s="1"/>
  <c r="AC25" i="17"/>
  <c r="AD25" i="17" s="1"/>
  <c r="AC26" i="17"/>
  <c r="AD26" i="17" s="1"/>
  <c r="AC27" i="17"/>
  <c r="AD27" i="17" s="1"/>
  <c r="AC28" i="17"/>
  <c r="AD28" i="17" s="1"/>
  <c r="AC29" i="17"/>
  <c r="AD29" i="17" s="1"/>
  <c r="AC30" i="17"/>
  <c r="AD30" i="17" s="1"/>
  <c r="AC31" i="17"/>
  <c r="AD31" i="17" s="1"/>
  <c r="AC32" i="17"/>
  <c r="AD32" i="17" s="1"/>
  <c r="AC33" i="17"/>
  <c r="AD33" i="17" s="1"/>
  <c r="AC34" i="17"/>
  <c r="AD34" i="17" s="1"/>
  <c r="AC35" i="17"/>
  <c r="AD35" i="17" s="1"/>
  <c r="AC11" i="17"/>
  <c r="AD11" i="17" s="1"/>
  <c r="AC12" i="17"/>
  <c r="AD12" i="17" s="1"/>
  <c r="AC13" i="17"/>
  <c r="AD13" i="17" s="1"/>
  <c r="AC14" i="17"/>
  <c r="AD14" i="17" s="1"/>
  <c r="AC9" i="17"/>
  <c r="AD9" i="17" s="1"/>
  <c r="AC10" i="17"/>
  <c r="AD10" i="17" s="1"/>
  <c r="AC8" i="17"/>
  <c r="AD8" i="17" s="1"/>
  <c r="AC7" i="17"/>
  <c r="AD7" i="17" s="1"/>
  <c r="AC6" i="17"/>
  <c r="AD6" i="17" s="1"/>
  <c r="AC5" i="17"/>
  <c r="AD5" i="17" s="1"/>
  <c r="AA18" i="17"/>
  <c r="AB18" i="17" s="1"/>
  <c r="AA19" i="17"/>
  <c r="AB19" i="17" s="1"/>
  <c r="AA20" i="17"/>
  <c r="AB20" i="17" s="1"/>
  <c r="AA21" i="17"/>
  <c r="AB21" i="17" s="1"/>
  <c r="AA22" i="17"/>
  <c r="AB22" i="17" s="1"/>
  <c r="AA23" i="17"/>
  <c r="AB23" i="17" s="1"/>
  <c r="AA24" i="17"/>
  <c r="AB24" i="17" s="1"/>
  <c r="AA25" i="17"/>
  <c r="AB25" i="17" s="1"/>
  <c r="AA26" i="17"/>
  <c r="AB26" i="17" s="1"/>
  <c r="AA27" i="17"/>
  <c r="AB27" i="17" s="1"/>
  <c r="AA28" i="17"/>
  <c r="AB28" i="17" s="1"/>
  <c r="AA29" i="17"/>
  <c r="AB29" i="17" s="1"/>
  <c r="AA30" i="17"/>
  <c r="AB30" i="17" s="1"/>
  <c r="AA31" i="17"/>
  <c r="AB31" i="17" s="1"/>
  <c r="AA32" i="17"/>
  <c r="AB32" i="17" s="1"/>
  <c r="AA33" i="17"/>
  <c r="AB33" i="17" s="1"/>
  <c r="AA34" i="17"/>
  <c r="AB34" i="17" s="1"/>
  <c r="AA35" i="17"/>
  <c r="AB35" i="17" s="1"/>
  <c r="AA36" i="17"/>
  <c r="AB36" i="17" s="1"/>
  <c r="AA37" i="17"/>
  <c r="AB37" i="17" s="1"/>
  <c r="AA38" i="17"/>
  <c r="AB38" i="17" s="1"/>
  <c r="AA39" i="17"/>
  <c r="AB39" i="17" s="1"/>
  <c r="AA40" i="17"/>
  <c r="AB40" i="17" s="1"/>
  <c r="AA41" i="17"/>
  <c r="AB41" i="17" s="1"/>
  <c r="AA42" i="17"/>
  <c r="AB42" i="17" s="1"/>
  <c r="AA43" i="17"/>
  <c r="AB43" i="17" s="1"/>
  <c r="AA44" i="17"/>
  <c r="AB44" i="17" s="1"/>
  <c r="AA45" i="17"/>
  <c r="AB45" i="17" s="1"/>
  <c r="AA46" i="17"/>
  <c r="AB46" i="17" s="1"/>
  <c r="AA47" i="17"/>
  <c r="AB47" i="17" s="1"/>
  <c r="AA48" i="17"/>
  <c r="AB48" i="17" s="1"/>
  <c r="AA49" i="17"/>
  <c r="AB49" i="17" s="1"/>
  <c r="AA50" i="17"/>
  <c r="AB50" i="17" s="1"/>
  <c r="AA51" i="17"/>
  <c r="AB51" i="17" s="1"/>
  <c r="AA52" i="17"/>
  <c r="AB52" i="17" s="1"/>
  <c r="AA53" i="17"/>
  <c r="AB53" i="17" s="1"/>
  <c r="AA54" i="17"/>
  <c r="AB54" i="17" s="1"/>
  <c r="AA55" i="17"/>
  <c r="AB55" i="17" s="1"/>
  <c r="AA56" i="17"/>
  <c r="AB56" i="17" s="1"/>
  <c r="AA57" i="17"/>
  <c r="AB57" i="17" s="1"/>
  <c r="AA58" i="17"/>
  <c r="AB58" i="17" s="1"/>
  <c r="AA59" i="17"/>
  <c r="AB59" i="17" s="1"/>
  <c r="AA60" i="17"/>
  <c r="AB60" i="17" s="1"/>
  <c r="AA61" i="17"/>
  <c r="AB61" i="17" s="1"/>
  <c r="AA62" i="17"/>
  <c r="AB62" i="17" s="1"/>
  <c r="AA63" i="17"/>
  <c r="AB63" i="17" s="1"/>
  <c r="AA64" i="17"/>
  <c r="AB64" i="17" s="1"/>
  <c r="AA65" i="17"/>
  <c r="AB65" i="17" s="1"/>
  <c r="AA66" i="17"/>
  <c r="AB66" i="17" s="1"/>
  <c r="AA67" i="17"/>
  <c r="AB67" i="17" s="1"/>
  <c r="AA68" i="17"/>
  <c r="AB68" i="17" s="1"/>
  <c r="AA69" i="17"/>
  <c r="AB69" i="17" s="1"/>
  <c r="AA70" i="17"/>
  <c r="AB70" i="17" s="1"/>
  <c r="AA71" i="17"/>
  <c r="AB71" i="17" s="1"/>
  <c r="AA72" i="17"/>
  <c r="AB72" i="17" s="1"/>
  <c r="AA73" i="17"/>
  <c r="AB73" i="17" s="1"/>
  <c r="AA74" i="17"/>
  <c r="AB74" i="17" s="1"/>
  <c r="AA75" i="17"/>
  <c r="AB75" i="17" s="1"/>
  <c r="AA76" i="17"/>
  <c r="AB76" i="17" s="1"/>
  <c r="AA77" i="17"/>
  <c r="AB77" i="17" s="1"/>
  <c r="AA78" i="17"/>
  <c r="AB78" i="17" s="1"/>
  <c r="AA79" i="17"/>
  <c r="AB79" i="17" s="1"/>
  <c r="AA80" i="17"/>
  <c r="AB80" i="17" s="1"/>
  <c r="AA81" i="17"/>
  <c r="AB81" i="17" s="1"/>
  <c r="AA82" i="17"/>
  <c r="AB82" i="17" s="1"/>
  <c r="AA83" i="17"/>
  <c r="AB83" i="17" s="1"/>
  <c r="AA84" i="17"/>
  <c r="AB84" i="17" s="1"/>
  <c r="AA85" i="17"/>
  <c r="AB85" i="17" s="1"/>
  <c r="AA86" i="17"/>
  <c r="AB86" i="17" s="1"/>
  <c r="AA87" i="17"/>
  <c r="AB87" i="17" s="1"/>
  <c r="AA88" i="17"/>
  <c r="AB88" i="17" s="1"/>
  <c r="AA89" i="17"/>
  <c r="AB89" i="17" s="1"/>
  <c r="AA90" i="17"/>
  <c r="AB90" i="17" s="1"/>
  <c r="AA91" i="17"/>
  <c r="AB91" i="17" s="1"/>
  <c r="AA92" i="17"/>
  <c r="AB92" i="17" s="1"/>
  <c r="AA93" i="17"/>
  <c r="AB93" i="17" s="1"/>
  <c r="AA94" i="17"/>
  <c r="AB94" i="17" s="1"/>
  <c r="AA95" i="17"/>
  <c r="AB95" i="17" s="1"/>
  <c r="AA96" i="17"/>
  <c r="AB96" i="17" s="1"/>
  <c r="AA97" i="17"/>
  <c r="AB97" i="17" s="1"/>
  <c r="AA98" i="17"/>
  <c r="AB98" i="17" s="1"/>
  <c r="AA99" i="17"/>
  <c r="AB99" i="17" s="1"/>
  <c r="AA100" i="17"/>
  <c r="AB100" i="17" s="1"/>
  <c r="AA101" i="17"/>
  <c r="AB101" i="17" s="1"/>
  <c r="AA102" i="17"/>
  <c r="AB102" i="17" s="1"/>
  <c r="AA103" i="17"/>
  <c r="AB103" i="17" s="1"/>
  <c r="AA104" i="17"/>
  <c r="AB104" i="17" s="1"/>
  <c r="AA105" i="17"/>
  <c r="AB105" i="17" s="1"/>
  <c r="AA106" i="17"/>
  <c r="AB106" i="17" s="1"/>
  <c r="AA107" i="17"/>
  <c r="AB107" i="17" s="1"/>
  <c r="AA108" i="17"/>
  <c r="AB108" i="17" s="1"/>
  <c r="AA109" i="17"/>
  <c r="AB109" i="17" s="1"/>
  <c r="AA110" i="17"/>
  <c r="AB110" i="17" s="1"/>
  <c r="AA111" i="17"/>
  <c r="AB111" i="17" s="1"/>
  <c r="AA112" i="17"/>
  <c r="AB112" i="17" s="1"/>
  <c r="AA113" i="17"/>
  <c r="AB113" i="17" s="1"/>
  <c r="AA114" i="17"/>
  <c r="AB114" i="17" s="1"/>
  <c r="AA115" i="17"/>
  <c r="AB115" i="17" s="1"/>
  <c r="AA116" i="17"/>
  <c r="AB116" i="17" s="1"/>
  <c r="AA117" i="17"/>
  <c r="AB117" i="17" s="1"/>
  <c r="AA118" i="17"/>
  <c r="AB118" i="17" s="1"/>
  <c r="AA119" i="17"/>
  <c r="AB119" i="17" s="1"/>
  <c r="AA120" i="17"/>
  <c r="AB120" i="17" s="1"/>
  <c r="AA121" i="17"/>
  <c r="AB121" i="17" s="1"/>
  <c r="AA122" i="17"/>
  <c r="AB122" i="17" s="1"/>
  <c r="AA123" i="17"/>
  <c r="AB123" i="17" s="1"/>
  <c r="AA124" i="17"/>
  <c r="AB124" i="17" s="1"/>
  <c r="AA125" i="17"/>
  <c r="AB125" i="17" s="1"/>
  <c r="AA126" i="17"/>
  <c r="AB126" i="17" s="1"/>
  <c r="AA127" i="17"/>
  <c r="AB127" i="17" s="1"/>
  <c r="AA128" i="17"/>
  <c r="AB128" i="17" s="1"/>
  <c r="AA129" i="17"/>
  <c r="AB129" i="17" s="1"/>
  <c r="AA130" i="17"/>
  <c r="AB130" i="17" s="1"/>
  <c r="AA131" i="17"/>
  <c r="AB131" i="17" s="1"/>
  <c r="AA132" i="17"/>
  <c r="AB132" i="17" s="1"/>
  <c r="AA133" i="17"/>
  <c r="AB133" i="17" s="1"/>
  <c r="AA134" i="17"/>
  <c r="AB134" i="17" s="1"/>
  <c r="AA135" i="17"/>
  <c r="AB135" i="17" s="1"/>
  <c r="AA136" i="17"/>
  <c r="AB136" i="17" s="1"/>
  <c r="AA137" i="17"/>
  <c r="AB137" i="17" s="1"/>
  <c r="AA138" i="17"/>
  <c r="AB138" i="17" s="1"/>
  <c r="AA139" i="17"/>
  <c r="AB139" i="17" s="1"/>
  <c r="AA140" i="17"/>
  <c r="AB140" i="17" s="1"/>
  <c r="AA141" i="17"/>
  <c r="AB141" i="17" s="1"/>
  <c r="AA142" i="17"/>
  <c r="AB142" i="17" s="1"/>
  <c r="AA143" i="17"/>
  <c r="AB143" i="17" s="1"/>
  <c r="AA144" i="17"/>
  <c r="AB144" i="17" s="1"/>
  <c r="AA145" i="17"/>
  <c r="AB145" i="17" s="1"/>
  <c r="AA146" i="17"/>
  <c r="AB146" i="17" s="1"/>
  <c r="AA5" i="17"/>
  <c r="AB5" i="17" s="1"/>
  <c r="AA6" i="17"/>
  <c r="AB6" i="17" s="1"/>
  <c r="AA7" i="17"/>
  <c r="AB7" i="17" s="1"/>
  <c r="AA8" i="17"/>
  <c r="AB8" i="17" s="1"/>
  <c r="AA9" i="17"/>
  <c r="AB9" i="17" s="1"/>
  <c r="AA10" i="17"/>
  <c r="AB10" i="17" s="1"/>
  <c r="AA11" i="17"/>
  <c r="AB11" i="17" s="1"/>
  <c r="AA12" i="17"/>
  <c r="AB12" i="17" s="1"/>
  <c r="AA13" i="17"/>
  <c r="AB13" i="17" s="1"/>
  <c r="AA14" i="17"/>
  <c r="AB14" i="17" s="1"/>
  <c r="AA15" i="17"/>
  <c r="AB15" i="17" s="1"/>
  <c r="AA16" i="17"/>
  <c r="AB16" i="17" s="1"/>
  <c r="AA17" i="17"/>
  <c r="AB17" i="17" s="1"/>
  <c r="AA4" i="17"/>
  <c r="AB4" i="17" s="1"/>
  <c r="AC4" i="17"/>
  <c r="AD4" i="17" s="1"/>
  <c r="AC3" i="17"/>
  <c r="AD3" i="17" s="1"/>
  <c r="AA3" i="17"/>
  <c r="AB3" i="17" s="1"/>
  <c r="M272" i="17"/>
  <c r="N272" i="17" s="1"/>
  <c r="M4" i="17"/>
  <c r="N4" i="17" s="1"/>
  <c r="M5" i="17"/>
  <c r="N5" i="17" s="1"/>
  <c r="M6" i="17"/>
  <c r="N6" i="17" s="1"/>
  <c r="M7" i="17"/>
  <c r="N7" i="17" s="1"/>
  <c r="M8" i="17"/>
  <c r="N8" i="17" s="1"/>
  <c r="M9" i="17"/>
  <c r="N9" i="17" s="1"/>
  <c r="M10" i="17"/>
  <c r="N10" i="17" s="1"/>
  <c r="M11" i="17"/>
  <c r="N11" i="17" s="1"/>
  <c r="M12" i="17"/>
  <c r="N12" i="17" s="1"/>
  <c r="M13" i="17"/>
  <c r="N13" i="17" s="1"/>
  <c r="M14" i="17"/>
  <c r="N14" i="17" s="1"/>
  <c r="M15" i="17"/>
  <c r="N15" i="17" s="1"/>
  <c r="M16" i="17"/>
  <c r="N16" i="17" s="1"/>
  <c r="M17" i="17"/>
  <c r="N17" i="17" s="1"/>
  <c r="M18" i="17"/>
  <c r="N18" i="17" s="1"/>
  <c r="M19" i="17"/>
  <c r="N19" i="17" s="1"/>
  <c r="M20" i="17"/>
  <c r="N20" i="17" s="1"/>
  <c r="M21" i="17"/>
  <c r="N21" i="17" s="1"/>
  <c r="M22" i="17"/>
  <c r="N22" i="17" s="1"/>
  <c r="M23" i="17"/>
  <c r="N23" i="17" s="1"/>
  <c r="M24" i="17"/>
  <c r="N24" i="17" s="1"/>
  <c r="M25" i="17"/>
  <c r="N25" i="17" s="1"/>
  <c r="M26" i="17"/>
  <c r="N26" i="17" s="1"/>
  <c r="M27" i="17"/>
  <c r="N27" i="17" s="1"/>
  <c r="M28" i="17"/>
  <c r="N28" i="17" s="1"/>
  <c r="M29" i="17"/>
  <c r="N29" i="17" s="1"/>
  <c r="M30" i="17"/>
  <c r="N30" i="17" s="1"/>
  <c r="M31" i="17"/>
  <c r="N31" i="17" s="1"/>
  <c r="M32" i="17"/>
  <c r="N32" i="17" s="1"/>
  <c r="M33" i="17"/>
  <c r="N33" i="17" s="1"/>
  <c r="M34" i="17"/>
  <c r="N34" i="17" s="1"/>
  <c r="M35" i="17"/>
  <c r="N35" i="17" s="1"/>
  <c r="M36" i="17"/>
  <c r="N36" i="17" s="1"/>
  <c r="M37" i="17"/>
  <c r="N37" i="17" s="1"/>
  <c r="M38" i="17"/>
  <c r="N38" i="17" s="1"/>
  <c r="M39" i="17"/>
  <c r="N39" i="17" s="1"/>
  <c r="M40" i="17"/>
  <c r="N40" i="17" s="1"/>
  <c r="M41" i="17"/>
  <c r="N41" i="17" s="1"/>
  <c r="M42" i="17"/>
  <c r="N42" i="17" s="1"/>
  <c r="M43" i="17"/>
  <c r="N43" i="17" s="1"/>
  <c r="M44" i="17"/>
  <c r="N44" i="17" s="1"/>
  <c r="M45" i="17"/>
  <c r="N45" i="17" s="1"/>
  <c r="M46" i="17"/>
  <c r="N46" i="17" s="1"/>
  <c r="M47" i="17"/>
  <c r="N47" i="17" s="1"/>
  <c r="M48" i="17"/>
  <c r="N48" i="17" s="1"/>
  <c r="M49" i="17"/>
  <c r="N49" i="17" s="1"/>
  <c r="M50" i="17"/>
  <c r="N50" i="17" s="1"/>
  <c r="M51" i="17"/>
  <c r="N51" i="17" s="1"/>
  <c r="M52" i="17"/>
  <c r="N52" i="17" s="1"/>
  <c r="M53" i="17"/>
  <c r="N53" i="17" s="1"/>
  <c r="M54" i="17"/>
  <c r="N54" i="17" s="1"/>
  <c r="M55" i="17"/>
  <c r="N55" i="17" s="1"/>
  <c r="M56" i="17"/>
  <c r="N56" i="17" s="1"/>
  <c r="M57" i="17"/>
  <c r="N57" i="17" s="1"/>
  <c r="M58" i="17"/>
  <c r="N58" i="17" s="1"/>
  <c r="M59" i="17"/>
  <c r="N59" i="17" s="1"/>
  <c r="M60" i="17"/>
  <c r="N60" i="17" s="1"/>
  <c r="M61" i="17"/>
  <c r="N61" i="17" s="1"/>
  <c r="M62" i="17"/>
  <c r="N62" i="17" s="1"/>
  <c r="M63" i="17"/>
  <c r="N63" i="17" s="1"/>
  <c r="M64" i="17"/>
  <c r="N64" i="17" s="1"/>
  <c r="M65" i="17"/>
  <c r="N65" i="17" s="1"/>
  <c r="M66" i="17"/>
  <c r="N66" i="17" s="1"/>
  <c r="M67" i="17"/>
  <c r="N67" i="17" s="1"/>
  <c r="M68" i="17"/>
  <c r="N68" i="17" s="1"/>
  <c r="M69" i="17"/>
  <c r="N69" i="17" s="1"/>
  <c r="M70" i="17"/>
  <c r="N70" i="17" s="1"/>
  <c r="M71" i="17"/>
  <c r="N71" i="17" s="1"/>
  <c r="M72" i="17"/>
  <c r="N72" i="17" s="1"/>
  <c r="M73" i="17"/>
  <c r="N73" i="17" s="1"/>
  <c r="M74" i="17"/>
  <c r="N74" i="17" s="1"/>
  <c r="M75" i="17"/>
  <c r="N75" i="17" s="1"/>
  <c r="M76" i="17"/>
  <c r="N76" i="17" s="1"/>
  <c r="M77" i="17"/>
  <c r="N77" i="17" s="1"/>
  <c r="M78" i="17"/>
  <c r="N78" i="17" s="1"/>
  <c r="M79" i="17"/>
  <c r="N79" i="17" s="1"/>
  <c r="M80" i="17"/>
  <c r="N80" i="17" s="1"/>
  <c r="M81" i="17"/>
  <c r="N81" i="17" s="1"/>
  <c r="M82" i="17"/>
  <c r="N82" i="17" s="1"/>
  <c r="M83" i="17"/>
  <c r="N83" i="17" s="1"/>
  <c r="M84" i="17"/>
  <c r="N84" i="17" s="1"/>
  <c r="M85" i="17"/>
  <c r="N85" i="17" s="1"/>
  <c r="M86" i="17"/>
  <c r="N86" i="17" s="1"/>
  <c r="M87" i="17"/>
  <c r="N87" i="17" s="1"/>
  <c r="M88" i="17"/>
  <c r="N88" i="17" s="1"/>
  <c r="M89" i="17"/>
  <c r="N89" i="17" s="1"/>
  <c r="M90" i="17"/>
  <c r="N90" i="17" s="1"/>
  <c r="M91" i="17"/>
  <c r="N91" i="17" s="1"/>
  <c r="M92" i="17"/>
  <c r="N92" i="17" s="1"/>
  <c r="M93" i="17"/>
  <c r="N93" i="17" s="1"/>
  <c r="M94" i="17"/>
  <c r="N94" i="17" s="1"/>
  <c r="M95" i="17"/>
  <c r="N95" i="17" s="1"/>
  <c r="M96" i="17"/>
  <c r="N96" i="17" s="1"/>
  <c r="M97" i="17"/>
  <c r="N97" i="17" s="1"/>
  <c r="M98" i="17"/>
  <c r="N98" i="17" s="1"/>
  <c r="M99" i="17"/>
  <c r="N99" i="17" s="1"/>
  <c r="M100" i="17"/>
  <c r="N100" i="17" s="1"/>
  <c r="M101" i="17"/>
  <c r="N101" i="17" s="1"/>
  <c r="M102" i="17"/>
  <c r="N102" i="17" s="1"/>
  <c r="M103" i="17"/>
  <c r="N103" i="17" s="1"/>
  <c r="M104" i="17"/>
  <c r="N104" i="17" s="1"/>
  <c r="M105" i="17"/>
  <c r="N105" i="17" s="1"/>
  <c r="M106" i="17"/>
  <c r="N106" i="17" s="1"/>
  <c r="M107" i="17"/>
  <c r="N107" i="17" s="1"/>
  <c r="M108" i="17"/>
  <c r="N108" i="17" s="1"/>
  <c r="M109" i="17"/>
  <c r="N109" i="17" s="1"/>
  <c r="M110" i="17"/>
  <c r="N110" i="17" s="1"/>
  <c r="M111" i="17"/>
  <c r="N111" i="17" s="1"/>
  <c r="M112" i="17"/>
  <c r="N112" i="17" s="1"/>
  <c r="M113" i="17"/>
  <c r="N113" i="17" s="1"/>
  <c r="M114" i="17"/>
  <c r="N114" i="17" s="1"/>
  <c r="M115" i="17"/>
  <c r="N115" i="17" s="1"/>
  <c r="M116" i="17"/>
  <c r="N116" i="17" s="1"/>
  <c r="M117" i="17"/>
  <c r="N117" i="17" s="1"/>
  <c r="M118" i="17"/>
  <c r="N118" i="17" s="1"/>
  <c r="M119" i="17"/>
  <c r="N119" i="17" s="1"/>
  <c r="M120" i="17"/>
  <c r="N120" i="17" s="1"/>
  <c r="M121" i="17"/>
  <c r="N121" i="17" s="1"/>
  <c r="M122" i="17"/>
  <c r="N122" i="17" s="1"/>
  <c r="M123" i="17"/>
  <c r="N123" i="17" s="1"/>
  <c r="M124" i="17"/>
  <c r="N124" i="17" s="1"/>
  <c r="M125" i="17"/>
  <c r="N125" i="17" s="1"/>
  <c r="M126" i="17"/>
  <c r="N126" i="17" s="1"/>
  <c r="M127" i="17"/>
  <c r="N127" i="17" s="1"/>
  <c r="M128" i="17"/>
  <c r="N128" i="17" s="1"/>
  <c r="M129" i="17"/>
  <c r="N129" i="17" s="1"/>
  <c r="M130" i="17"/>
  <c r="N130" i="17" s="1"/>
  <c r="M131" i="17"/>
  <c r="N131" i="17" s="1"/>
  <c r="M132" i="17"/>
  <c r="N132" i="17" s="1"/>
  <c r="M133" i="17"/>
  <c r="N133" i="17" s="1"/>
  <c r="M134" i="17"/>
  <c r="N134" i="17" s="1"/>
  <c r="M135" i="17"/>
  <c r="N135" i="17" s="1"/>
  <c r="M136" i="17"/>
  <c r="N136" i="17" s="1"/>
  <c r="M137" i="17"/>
  <c r="N137" i="17" s="1"/>
  <c r="M138" i="17"/>
  <c r="N138" i="17" s="1"/>
  <c r="M139" i="17"/>
  <c r="N139" i="17" s="1"/>
  <c r="M140" i="17"/>
  <c r="N140" i="17" s="1"/>
  <c r="M141" i="17"/>
  <c r="N141" i="17" s="1"/>
  <c r="M142" i="17"/>
  <c r="N142" i="17" s="1"/>
  <c r="M143" i="17"/>
  <c r="N143" i="17" s="1"/>
  <c r="M144" i="17"/>
  <c r="N144" i="17" s="1"/>
  <c r="M145" i="17"/>
  <c r="N145" i="17" s="1"/>
  <c r="M146" i="17"/>
  <c r="N146" i="17" s="1"/>
  <c r="M147" i="17"/>
  <c r="N147" i="17" s="1"/>
  <c r="M148" i="17"/>
  <c r="N148" i="17" s="1"/>
  <c r="M149" i="17"/>
  <c r="N149" i="17" s="1"/>
  <c r="M150" i="17"/>
  <c r="N150" i="17" s="1"/>
  <c r="M151" i="17"/>
  <c r="N151" i="17" s="1"/>
  <c r="M152" i="17"/>
  <c r="N152" i="17" s="1"/>
  <c r="M153" i="17"/>
  <c r="N153" i="17" s="1"/>
  <c r="M154" i="17"/>
  <c r="N154" i="17" s="1"/>
  <c r="M155" i="17"/>
  <c r="N155" i="17" s="1"/>
  <c r="M156" i="17"/>
  <c r="N156" i="17" s="1"/>
  <c r="M157" i="17"/>
  <c r="N157" i="17" s="1"/>
  <c r="M158" i="17"/>
  <c r="N158" i="17" s="1"/>
  <c r="M159" i="17"/>
  <c r="N159" i="17" s="1"/>
  <c r="M160" i="17"/>
  <c r="N160" i="17" s="1"/>
  <c r="M161" i="17"/>
  <c r="N161" i="17" s="1"/>
  <c r="M162" i="17"/>
  <c r="N162" i="17" s="1"/>
  <c r="M163" i="17"/>
  <c r="N163" i="17" s="1"/>
  <c r="M164" i="17"/>
  <c r="N164" i="17" s="1"/>
  <c r="M165" i="17"/>
  <c r="N165" i="17" s="1"/>
  <c r="M166" i="17"/>
  <c r="N166" i="17" s="1"/>
  <c r="M167" i="17"/>
  <c r="N167" i="17" s="1"/>
  <c r="M168" i="17"/>
  <c r="N168" i="17" s="1"/>
  <c r="M169" i="17"/>
  <c r="N169" i="17" s="1"/>
  <c r="M170" i="17"/>
  <c r="N170" i="17" s="1"/>
  <c r="M171" i="17"/>
  <c r="N171" i="17" s="1"/>
  <c r="M172" i="17"/>
  <c r="N172" i="17" s="1"/>
  <c r="M173" i="17"/>
  <c r="N173" i="17" s="1"/>
  <c r="M174" i="17"/>
  <c r="N174" i="17" s="1"/>
  <c r="M175" i="17"/>
  <c r="N175" i="17" s="1"/>
  <c r="M176" i="17"/>
  <c r="N176" i="17" s="1"/>
  <c r="M177" i="17"/>
  <c r="N177" i="17" s="1"/>
  <c r="M178" i="17"/>
  <c r="N178" i="17" s="1"/>
  <c r="M179" i="17"/>
  <c r="N179" i="17" s="1"/>
  <c r="M180" i="17"/>
  <c r="N180" i="17" s="1"/>
  <c r="M181" i="17"/>
  <c r="N181" i="17" s="1"/>
  <c r="M182" i="17"/>
  <c r="N182" i="17" s="1"/>
  <c r="M183" i="17"/>
  <c r="N183" i="17" s="1"/>
  <c r="M184" i="17"/>
  <c r="N184" i="17" s="1"/>
  <c r="M185" i="17"/>
  <c r="N185" i="17" s="1"/>
  <c r="M186" i="17"/>
  <c r="N186" i="17" s="1"/>
  <c r="M187" i="17"/>
  <c r="N187" i="17" s="1"/>
  <c r="M188" i="17"/>
  <c r="N188" i="17" s="1"/>
  <c r="M189" i="17"/>
  <c r="N189" i="17" s="1"/>
  <c r="M190" i="17"/>
  <c r="N190" i="17" s="1"/>
  <c r="M191" i="17"/>
  <c r="N191" i="17" s="1"/>
  <c r="M192" i="17"/>
  <c r="N192" i="17" s="1"/>
  <c r="M193" i="17"/>
  <c r="N193" i="17" s="1"/>
  <c r="M194" i="17"/>
  <c r="N194" i="17" s="1"/>
  <c r="M195" i="17"/>
  <c r="N195" i="17" s="1"/>
  <c r="M196" i="17"/>
  <c r="N196" i="17" s="1"/>
  <c r="M197" i="17"/>
  <c r="N197" i="17" s="1"/>
  <c r="M198" i="17"/>
  <c r="N198" i="17" s="1"/>
  <c r="M199" i="17"/>
  <c r="N199" i="17" s="1"/>
  <c r="M200" i="17"/>
  <c r="N200" i="17" s="1"/>
  <c r="M201" i="17"/>
  <c r="N201" i="17" s="1"/>
  <c r="M202" i="17"/>
  <c r="N202" i="17" s="1"/>
  <c r="M203" i="17"/>
  <c r="N203" i="17" s="1"/>
  <c r="M204" i="17"/>
  <c r="N204" i="17" s="1"/>
  <c r="M205" i="17"/>
  <c r="N205" i="17" s="1"/>
  <c r="M206" i="17"/>
  <c r="N206" i="17" s="1"/>
  <c r="M207" i="17"/>
  <c r="N207" i="17" s="1"/>
  <c r="M208" i="17"/>
  <c r="N208" i="17" s="1"/>
  <c r="M209" i="17"/>
  <c r="N209" i="17" s="1"/>
  <c r="M210" i="17"/>
  <c r="N210" i="17" s="1"/>
  <c r="M211" i="17"/>
  <c r="N211" i="17" s="1"/>
  <c r="M212" i="17"/>
  <c r="N212" i="17" s="1"/>
  <c r="M213" i="17"/>
  <c r="N213" i="17" s="1"/>
  <c r="M214" i="17"/>
  <c r="N214" i="17" s="1"/>
  <c r="M215" i="17"/>
  <c r="N215" i="17" s="1"/>
  <c r="M216" i="17"/>
  <c r="N216" i="17" s="1"/>
  <c r="M217" i="17"/>
  <c r="N217" i="17" s="1"/>
  <c r="M218" i="17"/>
  <c r="N218" i="17" s="1"/>
  <c r="M219" i="17"/>
  <c r="N219" i="17" s="1"/>
  <c r="M220" i="17"/>
  <c r="N220" i="17" s="1"/>
  <c r="M221" i="17"/>
  <c r="N221" i="17" s="1"/>
  <c r="M222" i="17"/>
  <c r="N222" i="17" s="1"/>
  <c r="M223" i="17"/>
  <c r="N223" i="17" s="1"/>
  <c r="M224" i="17"/>
  <c r="N224" i="17" s="1"/>
  <c r="M225" i="17"/>
  <c r="N225" i="17" s="1"/>
  <c r="M226" i="17"/>
  <c r="N226" i="17" s="1"/>
  <c r="M227" i="17"/>
  <c r="N227" i="17" s="1"/>
  <c r="M228" i="17"/>
  <c r="N228" i="17" s="1"/>
  <c r="M229" i="17"/>
  <c r="N229" i="17" s="1"/>
  <c r="M230" i="17"/>
  <c r="N230" i="17" s="1"/>
  <c r="M231" i="17"/>
  <c r="N231" i="17" s="1"/>
  <c r="M232" i="17"/>
  <c r="N232" i="17" s="1"/>
  <c r="M233" i="17"/>
  <c r="N233" i="17" s="1"/>
  <c r="M234" i="17"/>
  <c r="N234" i="17" s="1"/>
  <c r="M235" i="17"/>
  <c r="N235" i="17" s="1"/>
  <c r="M236" i="17"/>
  <c r="N236" i="17" s="1"/>
  <c r="M237" i="17"/>
  <c r="N237" i="17" s="1"/>
  <c r="M238" i="17"/>
  <c r="N238" i="17" s="1"/>
  <c r="M239" i="17"/>
  <c r="N239" i="17" s="1"/>
  <c r="M240" i="17"/>
  <c r="N240" i="17" s="1"/>
  <c r="M241" i="17"/>
  <c r="N241" i="17" s="1"/>
  <c r="M242" i="17"/>
  <c r="N242" i="17" s="1"/>
  <c r="M243" i="17"/>
  <c r="N243" i="17" s="1"/>
  <c r="M244" i="17"/>
  <c r="N244" i="17" s="1"/>
  <c r="M245" i="17"/>
  <c r="N245" i="17" s="1"/>
  <c r="M246" i="17"/>
  <c r="N246" i="17" s="1"/>
  <c r="M247" i="17"/>
  <c r="N247" i="17" s="1"/>
  <c r="M248" i="17"/>
  <c r="N248" i="17" s="1"/>
  <c r="M249" i="17"/>
  <c r="N249" i="17" s="1"/>
  <c r="M250" i="17"/>
  <c r="N250" i="17" s="1"/>
  <c r="M251" i="17"/>
  <c r="N251" i="17" s="1"/>
  <c r="M252" i="17"/>
  <c r="N252" i="17" s="1"/>
  <c r="M253" i="17"/>
  <c r="N253" i="17" s="1"/>
  <c r="M254" i="17"/>
  <c r="N254" i="17" s="1"/>
  <c r="M255" i="17"/>
  <c r="M256" i="17"/>
  <c r="N256" i="17" s="1"/>
  <c r="M257" i="17"/>
  <c r="N257" i="17" s="1"/>
  <c r="M258" i="17"/>
  <c r="N258" i="17" s="1"/>
  <c r="M259" i="17"/>
  <c r="N259" i="17" s="1"/>
  <c r="M260" i="17"/>
  <c r="N260" i="17" s="1"/>
  <c r="M261" i="17"/>
  <c r="N261" i="17" s="1"/>
  <c r="M262" i="17"/>
  <c r="N262" i="17" s="1"/>
  <c r="M263" i="17"/>
  <c r="N263" i="17" s="1"/>
  <c r="M264" i="17"/>
  <c r="N264" i="17" s="1"/>
  <c r="M265" i="17"/>
  <c r="N265" i="17" s="1"/>
  <c r="M266" i="17"/>
  <c r="N266" i="17" s="1"/>
  <c r="M267" i="17"/>
  <c r="N267" i="17" s="1"/>
  <c r="M268" i="17"/>
  <c r="N268" i="17" s="1"/>
  <c r="M269" i="17"/>
  <c r="N269" i="17" s="1"/>
  <c r="M270" i="17"/>
  <c r="N270" i="17" s="1"/>
  <c r="M271" i="17"/>
  <c r="N271" i="17" s="1"/>
  <c r="M273" i="17"/>
  <c r="N273" i="17" s="1"/>
  <c r="M274" i="17"/>
  <c r="N274" i="17" s="1"/>
  <c r="M275" i="17"/>
  <c r="N275" i="17" s="1"/>
  <c r="M276" i="17"/>
  <c r="N276" i="17" s="1"/>
  <c r="M277" i="17"/>
  <c r="N277" i="17" s="1"/>
  <c r="M278" i="17"/>
  <c r="N278" i="17" s="1"/>
  <c r="M279" i="17"/>
  <c r="N279" i="17" s="1"/>
  <c r="M280" i="17"/>
  <c r="N280" i="17" s="1"/>
  <c r="M281" i="17"/>
  <c r="N281" i="17" s="1"/>
  <c r="M282" i="17"/>
  <c r="N282" i="17" s="1"/>
  <c r="M283" i="17"/>
  <c r="N283" i="17" s="1"/>
  <c r="M284" i="17"/>
  <c r="N284" i="17" s="1"/>
  <c r="M285" i="17"/>
  <c r="N285" i="17" s="1"/>
  <c r="M286" i="17"/>
  <c r="N286" i="17" s="1"/>
  <c r="M287" i="17"/>
  <c r="N287" i="17" s="1"/>
  <c r="M288" i="17"/>
  <c r="N288" i="17" s="1"/>
  <c r="M289" i="17"/>
  <c r="N289" i="17" s="1"/>
  <c r="M290" i="17"/>
  <c r="N290" i="17" s="1"/>
  <c r="M291" i="17"/>
  <c r="N291" i="17" s="1"/>
  <c r="M292" i="17"/>
  <c r="N292" i="17" s="1"/>
  <c r="M293" i="17"/>
  <c r="N293" i="17" s="1"/>
  <c r="M294" i="17"/>
  <c r="N294" i="17" s="1"/>
  <c r="M295" i="17"/>
  <c r="N295" i="17" s="1"/>
  <c r="M296" i="17"/>
  <c r="N296" i="17" s="1"/>
  <c r="M297" i="17"/>
  <c r="N297" i="17" s="1"/>
  <c r="M298" i="17"/>
  <c r="N298" i="17" s="1"/>
  <c r="M299" i="17"/>
  <c r="N299" i="17" s="1"/>
  <c r="M300" i="17"/>
  <c r="M301" i="17"/>
  <c r="N301" i="17" s="1"/>
  <c r="M302" i="17"/>
  <c r="N302" i="17" s="1"/>
  <c r="M303" i="17"/>
  <c r="N303" i="17" s="1"/>
  <c r="M304" i="17"/>
  <c r="N304" i="17" s="1"/>
  <c r="M305" i="17"/>
  <c r="N305" i="17" s="1"/>
  <c r="M306" i="17"/>
  <c r="N306" i="17" s="1"/>
  <c r="M307" i="17"/>
  <c r="N307" i="17" s="1"/>
  <c r="M308" i="17"/>
  <c r="N308" i="17" s="1"/>
  <c r="M309" i="17"/>
  <c r="N309" i="17" s="1"/>
  <c r="M310" i="17"/>
  <c r="N310" i="17" s="1"/>
  <c r="M311" i="17"/>
  <c r="N311" i="17" s="1"/>
  <c r="M312" i="17"/>
  <c r="N312" i="17" s="1"/>
  <c r="M313" i="17"/>
  <c r="N313" i="17" s="1"/>
  <c r="M314" i="17"/>
  <c r="N314" i="17" s="1"/>
  <c r="M315" i="17"/>
  <c r="N315" i="17" s="1"/>
  <c r="M316" i="17"/>
  <c r="N316" i="17" s="1"/>
  <c r="M317" i="17"/>
  <c r="N317" i="17" s="1"/>
  <c r="M318" i="17"/>
  <c r="N318" i="17" s="1"/>
  <c r="M319" i="17"/>
  <c r="N319" i="17" s="1"/>
  <c r="M320" i="17"/>
  <c r="N320" i="17" s="1"/>
  <c r="M321" i="17"/>
  <c r="N321" i="17" s="1"/>
  <c r="M322" i="17"/>
  <c r="N322" i="17" s="1"/>
  <c r="M323" i="17"/>
  <c r="N323" i="17" s="1"/>
  <c r="M324" i="17"/>
  <c r="N324" i="17" s="1"/>
  <c r="M325" i="17"/>
  <c r="N325" i="17" s="1"/>
  <c r="M326" i="17"/>
  <c r="N326" i="17" s="1"/>
  <c r="M327" i="17"/>
  <c r="N327" i="17" s="1"/>
  <c r="M328" i="17"/>
  <c r="N328" i="17" s="1"/>
  <c r="M329" i="17"/>
  <c r="N329" i="17" s="1"/>
  <c r="M330" i="17"/>
  <c r="N330" i="17" s="1"/>
  <c r="M331" i="17"/>
  <c r="N331" i="17" s="1"/>
  <c r="M332" i="17"/>
  <c r="N332" i="17" s="1"/>
  <c r="M333" i="17"/>
  <c r="N333" i="17" s="1"/>
  <c r="M334" i="17"/>
  <c r="N334" i="17" s="1"/>
  <c r="M335" i="17"/>
  <c r="N335" i="17" s="1"/>
  <c r="M336" i="17"/>
  <c r="N336" i="17" s="1"/>
  <c r="M337" i="17"/>
  <c r="N337" i="17" s="1"/>
  <c r="M338" i="17"/>
  <c r="N338" i="17" s="1"/>
  <c r="M339" i="17"/>
  <c r="N339" i="17" s="1"/>
  <c r="M340" i="17"/>
  <c r="N340" i="17" s="1"/>
  <c r="M341" i="17"/>
  <c r="N341" i="17" s="1"/>
  <c r="M342" i="17"/>
  <c r="N342" i="17" s="1"/>
  <c r="M343" i="17"/>
  <c r="N343" i="17" s="1"/>
  <c r="M344" i="17"/>
  <c r="N344" i="17" s="1"/>
  <c r="M345" i="17"/>
  <c r="N345" i="17" s="1"/>
  <c r="M346" i="17"/>
  <c r="M347" i="17"/>
  <c r="N347" i="17" s="1"/>
  <c r="M348" i="17"/>
  <c r="N348" i="17" s="1"/>
  <c r="M349" i="17"/>
  <c r="N349" i="17" s="1"/>
  <c r="M350" i="17"/>
  <c r="N350" i="17" s="1"/>
  <c r="M351" i="17"/>
  <c r="N351" i="17" s="1"/>
  <c r="M352" i="17"/>
  <c r="N352" i="17" s="1"/>
  <c r="M353" i="17"/>
  <c r="N353" i="17" s="1"/>
  <c r="M354" i="17"/>
  <c r="N354" i="17" s="1"/>
  <c r="M355" i="17"/>
  <c r="N355" i="17" s="1"/>
  <c r="M356" i="17"/>
  <c r="N356" i="17" s="1"/>
  <c r="M357" i="17"/>
  <c r="N357" i="17" s="1"/>
  <c r="M3" i="17"/>
  <c r="N3" i="17" s="1"/>
  <c r="K204" i="17"/>
  <c r="L204" i="17" s="1"/>
  <c r="K205" i="17"/>
  <c r="L205" i="17" s="1"/>
  <c r="K206" i="17"/>
  <c r="L206" i="17" s="1"/>
  <c r="K207" i="17"/>
  <c r="L207" i="17" s="1"/>
  <c r="K208" i="17"/>
  <c r="L208" i="17" s="1"/>
  <c r="K209" i="17"/>
  <c r="L209" i="17" s="1"/>
  <c r="K210" i="17"/>
  <c r="L210" i="17" s="1"/>
  <c r="K211" i="17"/>
  <c r="L211" i="17" s="1"/>
  <c r="K212" i="17"/>
  <c r="L212" i="17" s="1"/>
  <c r="K213" i="17"/>
  <c r="L213" i="17" s="1"/>
  <c r="K214" i="17"/>
  <c r="L214" i="17" s="1"/>
  <c r="K215" i="17"/>
  <c r="L215" i="17" s="1"/>
  <c r="K216" i="17"/>
  <c r="L216" i="17" s="1"/>
  <c r="K217" i="17"/>
  <c r="L217" i="17" s="1"/>
  <c r="K218" i="17"/>
  <c r="L218" i="17" s="1"/>
  <c r="K219" i="17"/>
  <c r="L219" i="17" s="1"/>
  <c r="K220" i="17"/>
  <c r="L220" i="17" s="1"/>
  <c r="K221" i="17"/>
  <c r="L221" i="17" s="1"/>
  <c r="K222" i="17"/>
  <c r="L222" i="17" s="1"/>
  <c r="K223" i="17"/>
  <c r="L223" i="17" s="1"/>
  <c r="K224" i="17"/>
  <c r="L224" i="17" s="1"/>
  <c r="K225" i="17"/>
  <c r="L225" i="17" s="1"/>
  <c r="K226" i="17"/>
  <c r="L226" i="17" s="1"/>
  <c r="K227" i="17"/>
  <c r="L227" i="17" s="1"/>
  <c r="K228" i="17"/>
  <c r="L228" i="17" s="1"/>
  <c r="K229" i="17"/>
  <c r="L229" i="17" s="1"/>
  <c r="K230" i="17"/>
  <c r="L230" i="17" s="1"/>
  <c r="K231" i="17"/>
  <c r="L231" i="17" s="1"/>
  <c r="K232" i="17"/>
  <c r="L232" i="17" s="1"/>
  <c r="K233" i="17"/>
  <c r="L233" i="17" s="1"/>
  <c r="K234" i="17"/>
  <c r="L234" i="17" s="1"/>
  <c r="K235" i="17"/>
  <c r="L235" i="17" s="1"/>
  <c r="K236" i="17"/>
  <c r="L236" i="17" s="1"/>
  <c r="K237" i="17"/>
  <c r="L237" i="17" s="1"/>
  <c r="K238" i="17"/>
  <c r="L238" i="17" s="1"/>
  <c r="K239" i="17"/>
  <c r="L239" i="17" s="1"/>
  <c r="K240" i="17"/>
  <c r="L240" i="17" s="1"/>
  <c r="K241" i="17"/>
  <c r="L241" i="17" s="1"/>
  <c r="K242" i="17"/>
  <c r="L242" i="17" s="1"/>
  <c r="K243" i="17"/>
  <c r="L243" i="17" s="1"/>
  <c r="K244" i="17"/>
  <c r="L244" i="17" s="1"/>
  <c r="K245" i="17"/>
  <c r="L245" i="17" s="1"/>
  <c r="K246" i="17"/>
  <c r="L246" i="17" s="1"/>
  <c r="K247" i="17"/>
  <c r="L247" i="17" s="1"/>
  <c r="K248" i="17"/>
  <c r="L248" i="17" s="1"/>
  <c r="K249" i="17"/>
  <c r="L249" i="17" s="1"/>
  <c r="K250" i="17"/>
  <c r="L250" i="17" s="1"/>
  <c r="K251" i="17"/>
  <c r="L251" i="17" s="1"/>
  <c r="K252" i="17"/>
  <c r="L252" i="17" s="1"/>
  <c r="K253" i="17"/>
  <c r="L253" i="17" s="1"/>
  <c r="K254" i="17"/>
  <c r="L254" i="17" s="1"/>
  <c r="K255" i="17"/>
  <c r="K256" i="17"/>
  <c r="L256" i="17" s="1"/>
  <c r="K257" i="17"/>
  <c r="L257" i="17" s="1"/>
  <c r="K258" i="17"/>
  <c r="L258" i="17" s="1"/>
  <c r="K259" i="17"/>
  <c r="L259" i="17" s="1"/>
  <c r="K260" i="17"/>
  <c r="L260" i="17" s="1"/>
  <c r="K261" i="17"/>
  <c r="L261" i="17" s="1"/>
  <c r="K262" i="17"/>
  <c r="L262" i="17" s="1"/>
  <c r="K263" i="17"/>
  <c r="L263" i="17" s="1"/>
  <c r="K264" i="17"/>
  <c r="L264" i="17" s="1"/>
  <c r="K265" i="17"/>
  <c r="L265" i="17" s="1"/>
  <c r="K266" i="17"/>
  <c r="L266" i="17" s="1"/>
  <c r="K267" i="17"/>
  <c r="L267" i="17" s="1"/>
  <c r="K268" i="17"/>
  <c r="L268" i="17" s="1"/>
  <c r="K269" i="17"/>
  <c r="L269" i="17" s="1"/>
  <c r="K270" i="17"/>
  <c r="L270" i="17" s="1"/>
  <c r="K271" i="17"/>
  <c r="L271" i="17" s="1"/>
  <c r="K272" i="17"/>
  <c r="L272" i="17" s="1"/>
  <c r="K273" i="17"/>
  <c r="L273" i="17" s="1"/>
  <c r="K274" i="17"/>
  <c r="L274" i="17" s="1"/>
  <c r="K275" i="17"/>
  <c r="L275" i="17" s="1"/>
  <c r="K276" i="17"/>
  <c r="L276" i="17" s="1"/>
  <c r="K277" i="17"/>
  <c r="L277" i="17" s="1"/>
  <c r="K278" i="17"/>
  <c r="L278" i="17" s="1"/>
  <c r="K279" i="17"/>
  <c r="L279" i="17" s="1"/>
  <c r="K280" i="17"/>
  <c r="L280" i="17" s="1"/>
  <c r="K281" i="17"/>
  <c r="L281" i="17" s="1"/>
  <c r="K282" i="17"/>
  <c r="L282" i="17" s="1"/>
  <c r="K283" i="17"/>
  <c r="L283" i="17" s="1"/>
  <c r="K284" i="17"/>
  <c r="L284" i="17" s="1"/>
  <c r="K285" i="17"/>
  <c r="L285" i="17" s="1"/>
  <c r="K286" i="17"/>
  <c r="L286" i="17" s="1"/>
  <c r="K287" i="17"/>
  <c r="L287" i="17" s="1"/>
  <c r="K288" i="17"/>
  <c r="L288" i="17" s="1"/>
  <c r="K289" i="17"/>
  <c r="L289" i="17" s="1"/>
  <c r="K290" i="17"/>
  <c r="L290" i="17" s="1"/>
  <c r="K291" i="17"/>
  <c r="L291" i="17" s="1"/>
  <c r="K292" i="17"/>
  <c r="L292" i="17" s="1"/>
  <c r="K293" i="17"/>
  <c r="L293" i="17" s="1"/>
  <c r="K294" i="17"/>
  <c r="L294" i="17" s="1"/>
  <c r="K295" i="17"/>
  <c r="L295" i="17" s="1"/>
  <c r="K296" i="17"/>
  <c r="L296" i="17" s="1"/>
  <c r="K297" i="17"/>
  <c r="L297" i="17" s="1"/>
  <c r="K298" i="17"/>
  <c r="L298" i="17" s="1"/>
  <c r="K299" i="17"/>
  <c r="L299" i="17" s="1"/>
  <c r="K300" i="17"/>
  <c r="K301" i="17"/>
  <c r="L301" i="17" s="1"/>
  <c r="K302" i="17"/>
  <c r="L302" i="17" s="1"/>
  <c r="K303" i="17"/>
  <c r="L303" i="17" s="1"/>
  <c r="K304" i="17"/>
  <c r="L304" i="17" s="1"/>
  <c r="K305" i="17"/>
  <c r="L305" i="17" s="1"/>
  <c r="K306" i="17"/>
  <c r="L306" i="17" s="1"/>
  <c r="K307" i="17"/>
  <c r="L307" i="17" s="1"/>
  <c r="K308" i="17"/>
  <c r="L308" i="17" s="1"/>
  <c r="K309" i="17"/>
  <c r="L309" i="17" s="1"/>
  <c r="K310" i="17"/>
  <c r="L310" i="17" s="1"/>
  <c r="K311" i="17"/>
  <c r="L311" i="17" s="1"/>
  <c r="K312" i="17"/>
  <c r="L312" i="17" s="1"/>
  <c r="K313" i="17"/>
  <c r="L313" i="17" s="1"/>
  <c r="K314" i="17"/>
  <c r="L314" i="17" s="1"/>
  <c r="K315" i="17"/>
  <c r="L315" i="17" s="1"/>
  <c r="K316" i="17"/>
  <c r="L316" i="17" s="1"/>
  <c r="K317" i="17"/>
  <c r="L317" i="17" s="1"/>
  <c r="K318" i="17"/>
  <c r="L318" i="17" s="1"/>
  <c r="K319" i="17"/>
  <c r="L319" i="17" s="1"/>
  <c r="K320" i="17"/>
  <c r="L320" i="17" s="1"/>
  <c r="K321" i="17"/>
  <c r="L321" i="17" s="1"/>
  <c r="K322" i="17"/>
  <c r="L322" i="17" s="1"/>
  <c r="K323" i="17"/>
  <c r="L323" i="17" s="1"/>
  <c r="K324" i="17"/>
  <c r="L324" i="17" s="1"/>
  <c r="K325" i="17"/>
  <c r="L325" i="17" s="1"/>
  <c r="K326" i="17"/>
  <c r="L326" i="17" s="1"/>
  <c r="K327" i="17"/>
  <c r="L327" i="17" s="1"/>
  <c r="K328" i="17"/>
  <c r="L328" i="17" s="1"/>
  <c r="K329" i="17"/>
  <c r="L329" i="17" s="1"/>
  <c r="K330" i="17"/>
  <c r="L330" i="17" s="1"/>
  <c r="K331" i="17"/>
  <c r="L331" i="17" s="1"/>
  <c r="K332" i="17"/>
  <c r="L332" i="17" s="1"/>
  <c r="K333" i="17"/>
  <c r="L333" i="17" s="1"/>
  <c r="K334" i="17"/>
  <c r="L334" i="17" s="1"/>
  <c r="K335" i="17"/>
  <c r="L335" i="17" s="1"/>
  <c r="K336" i="17"/>
  <c r="L336" i="17" s="1"/>
  <c r="K337" i="17"/>
  <c r="L337" i="17" s="1"/>
  <c r="K338" i="17"/>
  <c r="L338" i="17" s="1"/>
  <c r="K339" i="17"/>
  <c r="L339" i="17" s="1"/>
  <c r="K340" i="17"/>
  <c r="L340" i="17" s="1"/>
  <c r="K341" i="17"/>
  <c r="L341" i="17" s="1"/>
  <c r="K342" i="17"/>
  <c r="L342" i="17" s="1"/>
  <c r="K343" i="17"/>
  <c r="L343" i="17" s="1"/>
  <c r="K344" i="17"/>
  <c r="L344" i="17" s="1"/>
  <c r="K345" i="17"/>
  <c r="L345" i="17" s="1"/>
  <c r="K346" i="17"/>
  <c r="K347" i="17"/>
  <c r="L347" i="17" s="1"/>
  <c r="K348" i="17"/>
  <c r="L348" i="17" s="1"/>
  <c r="K349" i="17"/>
  <c r="L349" i="17" s="1"/>
  <c r="K350" i="17"/>
  <c r="L350" i="17" s="1"/>
  <c r="K351" i="17"/>
  <c r="L351" i="17" s="1"/>
  <c r="K352" i="17"/>
  <c r="L352" i="17" s="1"/>
  <c r="K353" i="17"/>
  <c r="L353" i="17" s="1"/>
  <c r="K354" i="17"/>
  <c r="L354" i="17" s="1"/>
  <c r="K355" i="17"/>
  <c r="L355" i="17" s="1"/>
  <c r="K356" i="17"/>
  <c r="L356" i="17" s="1"/>
  <c r="K357" i="17"/>
  <c r="L357" i="17" s="1"/>
  <c r="K198" i="17"/>
  <c r="L198" i="17" s="1"/>
  <c r="K199" i="17"/>
  <c r="L199" i="17" s="1"/>
  <c r="K200" i="17"/>
  <c r="L200" i="17" s="1"/>
  <c r="K201" i="17"/>
  <c r="L201" i="17" s="1"/>
  <c r="K202" i="17"/>
  <c r="L202" i="17" s="1"/>
  <c r="K203" i="17"/>
  <c r="L203" i="17" s="1"/>
  <c r="K178" i="17"/>
  <c r="L178" i="17" s="1"/>
  <c r="K179" i="17"/>
  <c r="L179" i="17" s="1"/>
  <c r="K180" i="17"/>
  <c r="L180" i="17" s="1"/>
  <c r="K181" i="17"/>
  <c r="L181" i="17" s="1"/>
  <c r="K182" i="17"/>
  <c r="L182" i="17" s="1"/>
  <c r="K183" i="17"/>
  <c r="L183" i="17" s="1"/>
  <c r="K184" i="17"/>
  <c r="L184" i="17" s="1"/>
  <c r="K185" i="17"/>
  <c r="L185" i="17" s="1"/>
  <c r="K186" i="17"/>
  <c r="L186" i="17" s="1"/>
  <c r="K187" i="17"/>
  <c r="L187" i="17" s="1"/>
  <c r="K188" i="17"/>
  <c r="L188" i="17" s="1"/>
  <c r="K189" i="17"/>
  <c r="L189" i="17" s="1"/>
  <c r="K190" i="17"/>
  <c r="L190" i="17" s="1"/>
  <c r="K191" i="17"/>
  <c r="L191" i="17" s="1"/>
  <c r="K192" i="17"/>
  <c r="L192" i="17" s="1"/>
  <c r="K193" i="17"/>
  <c r="L193" i="17" s="1"/>
  <c r="K194" i="17"/>
  <c r="L194" i="17" s="1"/>
  <c r="K195" i="17"/>
  <c r="L195" i="17" s="1"/>
  <c r="K196" i="17"/>
  <c r="L196" i="17" s="1"/>
  <c r="K197" i="17"/>
  <c r="L197" i="17" s="1"/>
  <c r="K168" i="17"/>
  <c r="L168" i="17" s="1"/>
  <c r="K169" i="17"/>
  <c r="L169" i="17" s="1"/>
  <c r="K170" i="17"/>
  <c r="L170" i="17" s="1"/>
  <c r="K171" i="17"/>
  <c r="L171" i="17" s="1"/>
  <c r="K172" i="17"/>
  <c r="L172" i="17" s="1"/>
  <c r="K173" i="17"/>
  <c r="L173" i="17" s="1"/>
  <c r="K174" i="17"/>
  <c r="L174" i="17" s="1"/>
  <c r="K175" i="17"/>
  <c r="L175" i="17" s="1"/>
  <c r="K176" i="17"/>
  <c r="L176" i="17" s="1"/>
  <c r="K177" i="17"/>
  <c r="L177" i="17" s="1"/>
  <c r="K108" i="17"/>
  <c r="L108" i="17" s="1"/>
  <c r="K109" i="17"/>
  <c r="L109" i="17" s="1"/>
  <c r="K110" i="17"/>
  <c r="L110" i="17" s="1"/>
  <c r="K111" i="17"/>
  <c r="L111" i="17" s="1"/>
  <c r="K112" i="17"/>
  <c r="L112" i="17" s="1"/>
  <c r="K113" i="17"/>
  <c r="L113" i="17" s="1"/>
  <c r="K114" i="17"/>
  <c r="L114" i="17" s="1"/>
  <c r="K115" i="17"/>
  <c r="L115" i="17" s="1"/>
  <c r="K116" i="17"/>
  <c r="L116" i="17" s="1"/>
  <c r="K117" i="17"/>
  <c r="L117" i="17" s="1"/>
  <c r="K118" i="17"/>
  <c r="L118" i="17" s="1"/>
  <c r="K119" i="17"/>
  <c r="L119" i="17" s="1"/>
  <c r="K120" i="17"/>
  <c r="L120" i="17" s="1"/>
  <c r="K121" i="17"/>
  <c r="L121" i="17" s="1"/>
  <c r="K122" i="17"/>
  <c r="L122" i="17" s="1"/>
  <c r="K123" i="17"/>
  <c r="L123" i="17" s="1"/>
  <c r="K124" i="17"/>
  <c r="L124" i="17" s="1"/>
  <c r="K125" i="17"/>
  <c r="L125" i="17" s="1"/>
  <c r="K126" i="17"/>
  <c r="L126" i="17" s="1"/>
  <c r="K127" i="17"/>
  <c r="L127" i="17" s="1"/>
  <c r="K128" i="17"/>
  <c r="L128" i="17" s="1"/>
  <c r="K129" i="17"/>
  <c r="L129" i="17" s="1"/>
  <c r="K130" i="17"/>
  <c r="L130" i="17" s="1"/>
  <c r="K131" i="17"/>
  <c r="L131" i="17" s="1"/>
  <c r="K132" i="17"/>
  <c r="L132" i="17" s="1"/>
  <c r="K133" i="17"/>
  <c r="L133" i="17" s="1"/>
  <c r="K134" i="17"/>
  <c r="L134" i="17" s="1"/>
  <c r="K135" i="17"/>
  <c r="L135" i="17" s="1"/>
  <c r="K136" i="17"/>
  <c r="L136" i="17" s="1"/>
  <c r="K137" i="17"/>
  <c r="L137" i="17" s="1"/>
  <c r="K138" i="17"/>
  <c r="L138" i="17" s="1"/>
  <c r="K139" i="17"/>
  <c r="L139" i="17" s="1"/>
  <c r="K140" i="17"/>
  <c r="L140" i="17" s="1"/>
  <c r="K141" i="17"/>
  <c r="L141" i="17" s="1"/>
  <c r="K142" i="17"/>
  <c r="L142" i="17" s="1"/>
  <c r="K143" i="17"/>
  <c r="L143" i="17" s="1"/>
  <c r="K144" i="17"/>
  <c r="L144" i="17" s="1"/>
  <c r="K145" i="17"/>
  <c r="L145" i="17" s="1"/>
  <c r="K146" i="17"/>
  <c r="L146" i="17" s="1"/>
  <c r="K147" i="17"/>
  <c r="L147" i="17" s="1"/>
  <c r="K148" i="17"/>
  <c r="L148" i="17" s="1"/>
  <c r="K149" i="17"/>
  <c r="L149" i="17" s="1"/>
  <c r="K150" i="17"/>
  <c r="L150" i="17" s="1"/>
  <c r="K151" i="17"/>
  <c r="L151" i="17" s="1"/>
  <c r="K152" i="17"/>
  <c r="L152" i="17" s="1"/>
  <c r="K153" i="17"/>
  <c r="L153" i="17" s="1"/>
  <c r="K154" i="17"/>
  <c r="L154" i="17" s="1"/>
  <c r="K155" i="17"/>
  <c r="L155" i="17" s="1"/>
  <c r="K156" i="17"/>
  <c r="L156" i="17" s="1"/>
  <c r="K157" i="17"/>
  <c r="L157" i="17" s="1"/>
  <c r="K158" i="17"/>
  <c r="L158" i="17" s="1"/>
  <c r="K159" i="17"/>
  <c r="L159" i="17" s="1"/>
  <c r="K160" i="17"/>
  <c r="L160" i="17" s="1"/>
  <c r="K161" i="17"/>
  <c r="L161" i="17" s="1"/>
  <c r="K162" i="17"/>
  <c r="L162" i="17" s="1"/>
  <c r="K163" i="17"/>
  <c r="L163" i="17" s="1"/>
  <c r="K164" i="17"/>
  <c r="L164" i="17" s="1"/>
  <c r="K165" i="17"/>
  <c r="L165" i="17" s="1"/>
  <c r="K166" i="17"/>
  <c r="L166" i="17" s="1"/>
  <c r="K167" i="17"/>
  <c r="L167" i="17" s="1"/>
  <c r="K107" i="17"/>
  <c r="L107" i="17" s="1"/>
  <c r="I178" i="17"/>
  <c r="J178" i="17" s="1"/>
  <c r="I179" i="17"/>
  <c r="J179" i="17" s="1"/>
  <c r="I180" i="17"/>
  <c r="J180" i="17" s="1"/>
  <c r="I181" i="17"/>
  <c r="J181" i="17" s="1"/>
  <c r="I182" i="17"/>
  <c r="J182" i="17" s="1"/>
  <c r="I183" i="17"/>
  <c r="J183" i="17" s="1"/>
  <c r="I184" i="17"/>
  <c r="J184" i="17" s="1"/>
  <c r="I185" i="17"/>
  <c r="J185" i="17" s="1"/>
  <c r="I186" i="17"/>
  <c r="J186" i="17" s="1"/>
  <c r="I187" i="17"/>
  <c r="J187" i="17" s="1"/>
  <c r="I188" i="17"/>
  <c r="J188" i="17" s="1"/>
  <c r="I189" i="17"/>
  <c r="J189" i="17" s="1"/>
  <c r="I190" i="17"/>
  <c r="J190" i="17" s="1"/>
  <c r="I191" i="17"/>
  <c r="J191" i="17" s="1"/>
  <c r="I192" i="17"/>
  <c r="J192" i="17" s="1"/>
  <c r="I193" i="17"/>
  <c r="J193" i="17" s="1"/>
  <c r="I194" i="17"/>
  <c r="J194" i="17" s="1"/>
  <c r="I195" i="17"/>
  <c r="J195" i="17" s="1"/>
  <c r="I196" i="17"/>
  <c r="J196" i="17" s="1"/>
  <c r="I197" i="17"/>
  <c r="J197" i="17" s="1"/>
  <c r="I198" i="17"/>
  <c r="J198" i="17" s="1"/>
  <c r="I199" i="17"/>
  <c r="J199" i="17" s="1"/>
  <c r="I200" i="17"/>
  <c r="J200" i="17" s="1"/>
  <c r="I201" i="17"/>
  <c r="J201" i="17" s="1"/>
  <c r="I202" i="17"/>
  <c r="J202" i="17" s="1"/>
  <c r="I203" i="17"/>
  <c r="J203" i="17" s="1"/>
  <c r="I204" i="17"/>
  <c r="J204" i="17" s="1"/>
  <c r="I205" i="17"/>
  <c r="J205" i="17" s="1"/>
  <c r="I206" i="17"/>
  <c r="J206" i="17" s="1"/>
  <c r="I207" i="17"/>
  <c r="J207" i="17" s="1"/>
  <c r="I208" i="17"/>
  <c r="J208" i="17" s="1"/>
  <c r="I209" i="17"/>
  <c r="J209" i="17" s="1"/>
  <c r="I210" i="17"/>
  <c r="J210" i="17" s="1"/>
  <c r="I211" i="17"/>
  <c r="J211" i="17" s="1"/>
  <c r="I212" i="17"/>
  <c r="J212" i="17" s="1"/>
  <c r="I213" i="17"/>
  <c r="J213" i="17" s="1"/>
  <c r="I214" i="17"/>
  <c r="J214" i="17" s="1"/>
  <c r="I215" i="17"/>
  <c r="J215" i="17" s="1"/>
  <c r="I216" i="17"/>
  <c r="J216" i="17" s="1"/>
  <c r="I217" i="17"/>
  <c r="J217" i="17" s="1"/>
  <c r="I218" i="17"/>
  <c r="J218" i="17" s="1"/>
  <c r="I219" i="17"/>
  <c r="J219" i="17" s="1"/>
  <c r="I220" i="17"/>
  <c r="J220" i="17" s="1"/>
  <c r="I221" i="17"/>
  <c r="J221" i="17" s="1"/>
  <c r="I222" i="17"/>
  <c r="J222" i="17" s="1"/>
  <c r="I223" i="17"/>
  <c r="J223" i="17" s="1"/>
  <c r="I224" i="17"/>
  <c r="J224" i="17" s="1"/>
  <c r="I225" i="17"/>
  <c r="J225" i="17" s="1"/>
  <c r="I226" i="17"/>
  <c r="J226" i="17" s="1"/>
  <c r="I227" i="17"/>
  <c r="J227" i="17" s="1"/>
  <c r="I228" i="17"/>
  <c r="J228" i="17" s="1"/>
  <c r="I229" i="17"/>
  <c r="J229" i="17" s="1"/>
  <c r="I230" i="17"/>
  <c r="J230" i="17" s="1"/>
  <c r="I231" i="17"/>
  <c r="J231" i="17" s="1"/>
  <c r="I232" i="17"/>
  <c r="J232" i="17" s="1"/>
  <c r="I233" i="17"/>
  <c r="J233" i="17" s="1"/>
  <c r="I234" i="17"/>
  <c r="J234" i="17" s="1"/>
  <c r="I235" i="17"/>
  <c r="J235" i="17" s="1"/>
  <c r="I236" i="17"/>
  <c r="J236" i="17" s="1"/>
  <c r="I237" i="17"/>
  <c r="J237" i="17" s="1"/>
  <c r="I238" i="17"/>
  <c r="J238" i="17" s="1"/>
  <c r="I239" i="17"/>
  <c r="J239" i="17" s="1"/>
  <c r="I240" i="17"/>
  <c r="J240" i="17" s="1"/>
  <c r="I241" i="17"/>
  <c r="J241" i="17" s="1"/>
  <c r="I242" i="17"/>
  <c r="J242" i="17" s="1"/>
  <c r="I243" i="17"/>
  <c r="J243" i="17" s="1"/>
  <c r="I244" i="17"/>
  <c r="J244" i="17" s="1"/>
  <c r="I245" i="17"/>
  <c r="J245" i="17" s="1"/>
  <c r="I246" i="17"/>
  <c r="J246" i="17" s="1"/>
  <c r="I247" i="17"/>
  <c r="J247" i="17" s="1"/>
  <c r="I248" i="17"/>
  <c r="J248" i="17" s="1"/>
  <c r="I249" i="17"/>
  <c r="J249" i="17" s="1"/>
  <c r="I250" i="17"/>
  <c r="J250" i="17" s="1"/>
  <c r="I251" i="17"/>
  <c r="J251" i="17" s="1"/>
  <c r="I252" i="17"/>
  <c r="J252" i="17" s="1"/>
  <c r="I253" i="17"/>
  <c r="J253" i="17" s="1"/>
  <c r="I254" i="17"/>
  <c r="J254" i="17" s="1"/>
  <c r="I255" i="17"/>
  <c r="I256" i="17"/>
  <c r="J256" i="17" s="1"/>
  <c r="I257" i="17"/>
  <c r="J257" i="17" s="1"/>
  <c r="I258" i="17"/>
  <c r="J258" i="17" s="1"/>
  <c r="I259" i="17"/>
  <c r="J259" i="17" s="1"/>
  <c r="I260" i="17"/>
  <c r="J260" i="17" s="1"/>
  <c r="I261" i="17"/>
  <c r="J261" i="17" s="1"/>
  <c r="I262" i="17"/>
  <c r="J262" i="17" s="1"/>
  <c r="I263" i="17"/>
  <c r="J263" i="17" s="1"/>
  <c r="I264" i="17"/>
  <c r="J264" i="17" s="1"/>
  <c r="I265" i="17"/>
  <c r="J265" i="17" s="1"/>
  <c r="I266" i="17"/>
  <c r="J266" i="17" s="1"/>
  <c r="I267" i="17"/>
  <c r="J267" i="17" s="1"/>
  <c r="I268" i="17"/>
  <c r="J268" i="17" s="1"/>
  <c r="I269" i="17"/>
  <c r="J269" i="17" s="1"/>
  <c r="I270" i="17"/>
  <c r="J270" i="17" s="1"/>
  <c r="I271" i="17"/>
  <c r="J271" i="17" s="1"/>
  <c r="I272" i="17"/>
  <c r="J272" i="17" s="1"/>
  <c r="I273" i="17"/>
  <c r="J273" i="17" s="1"/>
  <c r="I274" i="17"/>
  <c r="J274" i="17" s="1"/>
  <c r="I275" i="17"/>
  <c r="J275" i="17" s="1"/>
  <c r="I276" i="17"/>
  <c r="J276" i="17" s="1"/>
  <c r="I277" i="17"/>
  <c r="J277" i="17" s="1"/>
  <c r="I278" i="17"/>
  <c r="J278" i="17" s="1"/>
  <c r="I279" i="17"/>
  <c r="J279" i="17" s="1"/>
  <c r="I280" i="17"/>
  <c r="J280" i="17" s="1"/>
  <c r="I281" i="17"/>
  <c r="J281" i="17" s="1"/>
  <c r="I282" i="17"/>
  <c r="J282" i="17" s="1"/>
  <c r="I283" i="17"/>
  <c r="J283" i="17" s="1"/>
  <c r="I284" i="17"/>
  <c r="J284" i="17" s="1"/>
  <c r="I285" i="17"/>
  <c r="J285" i="17" s="1"/>
  <c r="I286" i="17"/>
  <c r="J286" i="17" s="1"/>
  <c r="I287" i="17"/>
  <c r="J287" i="17" s="1"/>
  <c r="I288" i="17"/>
  <c r="J288" i="17" s="1"/>
  <c r="I289" i="17"/>
  <c r="J289" i="17" s="1"/>
  <c r="I290" i="17"/>
  <c r="J290" i="17" s="1"/>
  <c r="I291" i="17"/>
  <c r="J291" i="17" s="1"/>
  <c r="I292" i="17"/>
  <c r="J292" i="17" s="1"/>
  <c r="I293" i="17"/>
  <c r="J293" i="17" s="1"/>
  <c r="I294" i="17"/>
  <c r="J294" i="17" s="1"/>
  <c r="I295" i="17"/>
  <c r="J295" i="17" s="1"/>
  <c r="I296" i="17"/>
  <c r="J296" i="17" s="1"/>
  <c r="I297" i="17"/>
  <c r="J297" i="17" s="1"/>
  <c r="I298" i="17"/>
  <c r="J298" i="17" s="1"/>
  <c r="I299" i="17"/>
  <c r="J299" i="17" s="1"/>
  <c r="I300" i="17"/>
  <c r="I301" i="17"/>
  <c r="J301" i="17" s="1"/>
  <c r="I302" i="17"/>
  <c r="J302" i="17" s="1"/>
  <c r="I303" i="17"/>
  <c r="J303" i="17" s="1"/>
  <c r="I304" i="17"/>
  <c r="J304" i="17" s="1"/>
  <c r="I305" i="17"/>
  <c r="J305" i="17" s="1"/>
  <c r="I306" i="17"/>
  <c r="J306" i="17" s="1"/>
  <c r="I307" i="17"/>
  <c r="J307" i="17" s="1"/>
  <c r="I308" i="17"/>
  <c r="J308" i="17" s="1"/>
  <c r="I309" i="17"/>
  <c r="J309" i="17" s="1"/>
  <c r="I310" i="17"/>
  <c r="J310" i="17" s="1"/>
  <c r="I311" i="17"/>
  <c r="J311" i="17" s="1"/>
  <c r="I312" i="17"/>
  <c r="J312" i="17" s="1"/>
  <c r="I313" i="17"/>
  <c r="J313" i="17" s="1"/>
  <c r="I314" i="17"/>
  <c r="J314" i="17" s="1"/>
  <c r="I315" i="17"/>
  <c r="J315" i="17" s="1"/>
  <c r="I316" i="17"/>
  <c r="J316" i="17" s="1"/>
  <c r="I317" i="17"/>
  <c r="J317" i="17" s="1"/>
  <c r="I318" i="17"/>
  <c r="J318" i="17" s="1"/>
  <c r="I319" i="17"/>
  <c r="J319" i="17" s="1"/>
  <c r="I320" i="17"/>
  <c r="J320" i="17" s="1"/>
  <c r="I321" i="17"/>
  <c r="J321" i="17" s="1"/>
  <c r="I322" i="17"/>
  <c r="J322" i="17" s="1"/>
  <c r="I323" i="17"/>
  <c r="J323" i="17" s="1"/>
  <c r="I324" i="17"/>
  <c r="J324" i="17" s="1"/>
  <c r="I325" i="17"/>
  <c r="J325" i="17" s="1"/>
  <c r="I326" i="17"/>
  <c r="J326" i="17" s="1"/>
  <c r="I327" i="17"/>
  <c r="J327" i="17" s="1"/>
  <c r="I328" i="17"/>
  <c r="J328" i="17" s="1"/>
  <c r="I329" i="17"/>
  <c r="J329" i="17" s="1"/>
  <c r="I330" i="17"/>
  <c r="J330" i="17" s="1"/>
  <c r="I331" i="17"/>
  <c r="J331" i="17" s="1"/>
  <c r="I332" i="17"/>
  <c r="J332" i="17" s="1"/>
  <c r="I333" i="17"/>
  <c r="J333" i="17" s="1"/>
  <c r="I334" i="17"/>
  <c r="J334" i="17" s="1"/>
  <c r="I335" i="17"/>
  <c r="J335" i="17" s="1"/>
  <c r="I336" i="17"/>
  <c r="J336" i="17" s="1"/>
  <c r="I337" i="17"/>
  <c r="J337" i="17" s="1"/>
  <c r="I338" i="17"/>
  <c r="J338" i="17" s="1"/>
  <c r="I339" i="17"/>
  <c r="J339" i="17" s="1"/>
  <c r="I340" i="17"/>
  <c r="J340" i="17" s="1"/>
  <c r="I341" i="17"/>
  <c r="J341" i="17" s="1"/>
  <c r="I342" i="17"/>
  <c r="J342" i="17" s="1"/>
  <c r="I343" i="17"/>
  <c r="J343" i="17" s="1"/>
  <c r="I344" i="17"/>
  <c r="J344" i="17" s="1"/>
  <c r="I345" i="17"/>
  <c r="J345" i="17" s="1"/>
  <c r="I346" i="17"/>
  <c r="I347" i="17"/>
  <c r="J347" i="17" s="1"/>
  <c r="I348" i="17"/>
  <c r="J348" i="17" s="1"/>
  <c r="I349" i="17"/>
  <c r="J349" i="17" s="1"/>
  <c r="I350" i="17"/>
  <c r="J350" i="17" s="1"/>
  <c r="I351" i="17"/>
  <c r="J351" i="17" s="1"/>
  <c r="I352" i="17"/>
  <c r="J352" i="17" s="1"/>
  <c r="I353" i="17"/>
  <c r="J353" i="17" s="1"/>
  <c r="I354" i="17"/>
  <c r="J354" i="17" s="1"/>
  <c r="I355" i="17"/>
  <c r="J355" i="17" s="1"/>
  <c r="I356" i="17"/>
  <c r="J356" i="17" s="1"/>
  <c r="I357" i="17"/>
  <c r="J357" i="17" s="1"/>
  <c r="I168" i="17"/>
  <c r="J168" i="17" s="1"/>
  <c r="I169" i="17"/>
  <c r="J169" i="17" s="1"/>
  <c r="I170" i="17"/>
  <c r="J170" i="17" s="1"/>
  <c r="I171" i="17"/>
  <c r="J171" i="17" s="1"/>
  <c r="I172" i="17"/>
  <c r="J172" i="17" s="1"/>
  <c r="I173" i="17"/>
  <c r="J173" i="17" s="1"/>
  <c r="I174" i="17"/>
  <c r="J174" i="17" s="1"/>
  <c r="I175" i="17"/>
  <c r="J175" i="17" s="1"/>
  <c r="I176" i="17"/>
  <c r="J176" i="17" s="1"/>
  <c r="I177" i="17"/>
  <c r="J177" i="17" s="1"/>
  <c r="I4" i="17"/>
  <c r="J4" i="17" s="1"/>
  <c r="K4" i="17"/>
  <c r="L4" i="17" s="1"/>
  <c r="I5" i="17"/>
  <c r="J5" i="17" s="1"/>
  <c r="K5" i="17"/>
  <c r="L5" i="17" s="1"/>
  <c r="I6" i="17"/>
  <c r="J6" i="17" s="1"/>
  <c r="K6" i="17"/>
  <c r="L6" i="17" s="1"/>
  <c r="I7" i="17"/>
  <c r="J7" i="17" s="1"/>
  <c r="K7" i="17"/>
  <c r="L7" i="17" s="1"/>
  <c r="I8" i="17"/>
  <c r="J8" i="17" s="1"/>
  <c r="K8" i="17"/>
  <c r="L8" i="17" s="1"/>
  <c r="I9" i="17"/>
  <c r="J9" i="17" s="1"/>
  <c r="K9" i="17"/>
  <c r="L9" i="17" s="1"/>
  <c r="I10" i="17"/>
  <c r="J10" i="17" s="1"/>
  <c r="K10" i="17"/>
  <c r="L10" i="17" s="1"/>
  <c r="I11" i="17"/>
  <c r="J11" i="17" s="1"/>
  <c r="K11" i="17"/>
  <c r="L11" i="17" s="1"/>
  <c r="I12" i="17"/>
  <c r="J12" i="17" s="1"/>
  <c r="K12" i="17"/>
  <c r="L12" i="17" s="1"/>
  <c r="I13" i="17"/>
  <c r="J13" i="17" s="1"/>
  <c r="K13" i="17"/>
  <c r="L13" i="17" s="1"/>
  <c r="I14" i="17"/>
  <c r="J14" i="17" s="1"/>
  <c r="K14" i="17"/>
  <c r="L14" i="17" s="1"/>
  <c r="I15" i="17"/>
  <c r="J15" i="17" s="1"/>
  <c r="K15" i="17"/>
  <c r="L15" i="17" s="1"/>
  <c r="I16" i="17"/>
  <c r="J16" i="17" s="1"/>
  <c r="K16" i="17"/>
  <c r="L16" i="17" s="1"/>
  <c r="I17" i="17"/>
  <c r="J17" i="17" s="1"/>
  <c r="K17" i="17"/>
  <c r="L17" i="17" s="1"/>
  <c r="I18" i="17"/>
  <c r="J18" i="17" s="1"/>
  <c r="K18" i="17"/>
  <c r="L18" i="17" s="1"/>
  <c r="I19" i="17"/>
  <c r="J19" i="17" s="1"/>
  <c r="K19" i="17"/>
  <c r="L19" i="17" s="1"/>
  <c r="I20" i="17"/>
  <c r="J20" i="17" s="1"/>
  <c r="K20" i="17"/>
  <c r="L20" i="17" s="1"/>
  <c r="I21" i="17"/>
  <c r="J21" i="17" s="1"/>
  <c r="K21" i="17"/>
  <c r="L21" i="17" s="1"/>
  <c r="I22" i="17"/>
  <c r="J22" i="17" s="1"/>
  <c r="K22" i="17"/>
  <c r="L22" i="17" s="1"/>
  <c r="I23" i="17"/>
  <c r="J23" i="17" s="1"/>
  <c r="K23" i="17"/>
  <c r="L23" i="17" s="1"/>
  <c r="I24" i="17"/>
  <c r="J24" i="17" s="1"/>
  <c r="K24" i="17"/>
  <c r="L24" i="17" s="1"/>
  <c r="I25" i="17"/>
  <c r="J25" i="17" s="1"/>
  <c r="K25" i="17"/>
  <c r="L25" i="17" s="1"/>
  <c r="I26" i="17"/>
  <c r="J26" i="17" s="1"/>
  <c r="K26" i="17"/>
  <c r="L26" i="17" s="1"/>
  <c r="I27" i="17"/>
  <c r="J27" i="17" s="1"/>
  <c r="K27" i="17"/>
  <c r="L27" i="17" s="1"/>
  <c r="I28" i="17"/>
  <c r="J28" i="17" s="1"/>
  <c r="K28" i="17"/>
  <c r="L28" i="17" s="1"/>
  <c r="I29" i="17"/>
  <c r="J29" i="17" s="1"/>
  <c r="K29" i="17"/>
  <c r="L29" i="17" s="1"/>
  <c r="I30" i="17"/>
  <c r="J30" i="17" s="1"/>
  <c r="K30" i="17"/>
  <c r="L30" i="17" s="1"/>
  <c r="I31" i="17"/>
  <c r="J31" i="17" s="1"/>
  <c r="K31" i="17"/>
  <c r="L31" i="17" s="1"/>
  <c r="I32" i="17"/>
  <c r="J32" i="17" s="1"/>
  <c r="K32" i="17"/>
  <c r="L32" i="17" s="1"/>
  <c r="I33" i="17"/>
  <c r="J33" i="17" s="1"/>
  <c r="K33" i="17"/>
  <c r="L33" i="17" s="1"/>
  <c r="I34" i="17"/>
  <c r="J34" i="17" s="1"/>
  <c r="K34" i="17"/>
  <c r="L34" i="17" s="1"/>
  <c r="I35" i="17"/>
  <c r="J35" i="17" s="1"/>
  <c r="K35" i="17"/>
  <c r="L35" i="17" s="1"/>
  <c r="I36" i="17"/>
  <c r="J36" i="17" s="1"/>
  <c r="K36" i="17"/>
  <c r="L36" i="17" s="1"/>
  <c r="I37" i="17"/>
  <c r="J37" i="17" s="1"/>
  <c r="K37" i="17"/>
  <c r="L37" i="17" s="1"/>
  <c r="I38" i="17"/>
  <c r="J38" i="17" s="1"/>
  <c r="K38" i="17"/>
  <c r="L38" i="17" s="1"/>
  <c r="I39" i="17"/>
  <c r="J39" i="17" s="1"/>
  <c r="K39" i="17"/>
  <c r="L39" i="17" s="1"/>
  <c r="I40" i="17"/>
  <c r="J40" i="17" s="1"/>
  <c r="K40" i="17"/>
  <c r="L40" i="17" s="1"/>
  <c r="I41" i="17"/>
  <c r="J41" i="17" s="1"/>
  <c r="K41" i="17"/>
  <c r="L41" i="17" s="1"/>
  <c r="I42" i="17"/>
  <c r="J42" i="17" s="1"/>
  <c r="K42" i="17"/>
  <c r="L42" i="17" s="1"/>
  <c r="I43" i="17"/>
  <c r="J43" i="17" s="1"/>
  <c r="K43" i="17"/>
  <c r="L43" i="17" s="1"/>
  <c r="I44" i="17"/>
  <c r="J44" i="17" s="1"/>
  <c r="K44" i="17"/>
  <c r="L44" i="17" s="1"/>
  <c r="I45" i="17"/>
  <c r="J45" i="17" s="1"/>
  <c r="K45" i="17"/>
  <c r="L45" i="17" s="1"/>
  <c r="I46" i="17"/>
  <c r="J46" i="17" s="1"/>
  <c r="K46" i="17"/>
  <c r="L46" i="17" s="1"/>
  <c r="I47" i="17"/>
  <c r="J47" i="17" s="1"/>
  <c r="K47" i="17"/>
  <c r="L47" i="17" s="1"/>
  <c r="I48" i="17"/>
  <c r="J48" i="17" s="1"/>
  <c r="K48" i="17"/>
  <c r="L48" i="17" s="1"/>
  <c r="I49" i="17"/>
  <c r="J49" i="17" s="1"/>
  <c r="K49" i="17"/>
  <c r="L49" i="17" s="1"/>
  <c r="I50" i="17"/>
  <c r="J50" i="17" s="1"/>
  <c r="K50" i="17"/>
  <c r="L50" i="17" s="1"/>
  <c r="I51" i="17"/>
  <c r="J51" i="17" s="1"/>
  <c r="K51" i="17"/>
  <c r="L51" i="17" s="1"/>
  <c r="I52" i="17"/>
  <c r="J52" i="17" s="1"/>
  <c r="K52" i="17"/>
  <c r="L52" i="17" s="1"/>
  <c r="I53" i="17"/>
  <c r="J53" i="17" s="1"/>
  <c r="K53" i="17"/>
  <c r="L53" i="17" s="1"/>
  <c r="I54" i="17"/>
  <c r="J54" i="17" s="1"/>
  <c r="K54" i="17"/>
  <c r="L54" i="17" s="1"/>
  <c r="I55" i="17"/>
  <c r="J55" i="17" s="1"/>
  <c r="K55" i="17"/>
  <c r="L55" i="17" s="1"/>
  <c r="I56" i="17"/>
  <c r="J56" i="17" s="1"/>
  <c r="K56" i="17"/>
  <c r="L56" i="17" s="1"/>
  <c r="I57" i="17"/>
  <c r="J57" i="17" s="1"/>
  <c r="K57" i="17"/>
  <c r="L57" i="17" s="1"/>
  <c r="I58" i="17"/>
  <c r="J58" i="17" s="1"/>
  <c r="K58" i="17"/>
  <c r="L58" i="17" s="1"/>
  <c r="I59" i="17"/>
  <c r="J59" i="17" s="1"/>
  <c r="K59" i="17"/>
  <c r="L59" i="17" s="1"/>
  <c r="I60" i="17"/>
  <c r="J60" i="17" s="1"/>
  <c r="K60" i="17"/>
  <c r="L60" i="17" s="1"/>
  <c r="I61" i="17"/>
  <c r="J61" i="17" s="1"/>
  <c r="K61" i="17"/>
  <c r="L61" i="17" s="1"/>
  <c r="I62" i="17"/>
  <c r="J62" i="17" s="1"/>
  <c r="K62" i="17"/>
  <c r="L62" i="17" s="1"/>
  <c r="I63" i="17"/>
  <c r="J63" i="17" s="1"/>
  <c r="K63" i="17"/>
  <c r="L63" i="17" s="1"/>
  <c r="I64" i="17"/>
  <c r="J64" i="17" s="1"/>
  <c r="K64" i="17"/>
  <c r="L64" i="17" s="1"/>
  <c r="I65" i="17"/>
  <c r="J65" i="17" s="1"/>
  <c r="K65" i="17"/>
  <c r="L65" i="17" s="1"/>
  <c r="I66" i="17"/>
  <c r="J66" i="17" s="1"/>
  <c r="K66" i="17"/>
  <c r="L66" i="17" s="1"/>
  <c r="I67" i="17"/>
  <c r="J67" i="17" s="1"/>
  <c r="K67" i="17"/>
  <c r="L67" i="17" s="1"/>
  <c r="I68" i="17"/>
  <c r="J68" i="17" s="1"/>
  <c r="K68" i="17"/>
  <c r="L68" i="17" s="1"/>
  <c r="I69" i="17"/>
  <c r="J69" i="17" s="1"/>
  <c r="K69" i="17"/>
  <c r="L69" i="17" s="1"/>
  <c r="I70" i="17"/>
  <c r="J70" i="17" s="1"/>
  <c r="K70" i="17"/>
  <c r="L70" i="17" s="1"/>
  <c r="I71" i="17"/>
  <c r="J71" i="17" s="1"/>
  <c r="K71" i="17"/>
  <c r="L71" i="17" s="1"/>
  <c r="I72" i="17"/>
  <c r="J72" i="17" s="1"/>
  <c r="K72" i="17"/>
  <c r="L72" i="17" s="1"/>
  <c r="I73" i="17"/>
  <c r="J73" i="17" s="1"/>
  <c r="K73" i="17"/>
  <c r="L73" i="17" s="1"/>
  <c r="I74" i="17"/>
  <c r="J74" i="17" s="1"/>
  <c r="K74" i="17"/>
  <c r="L74" i="17" s="1"/>
  <c r="I75" i="17"/>
  <c r="J75" i="17" s="1"/>
  <c r="K75" i="17"/>
  <c r="L75" i="17" s="1"/>
  <c r="I76" i="17"/>
  <c r="J76" i="17" s="1"/>
  <c r="K76" i="17"/>
  <c r="L76" i="17" s="1"/>
  <c r="I77" i="17"/>
  <c r="J77" i="17" s="1"/>
  <c r="K77" i="17"/>
  <c r="L77" i="17" s="1"/>
  <c r="I78" i="17"/>
  <c r="J78" i="17" s="1"/>
  <c r="K78" i="17"/>
  <c r="L78" i="17" s="1"/>
  <c r="I79" i="17"/>
  <c r="J79" i="17" s="1"/>
  <c r="K79" i="17"/>
  <c r="L79" i="17" s="1"/>
  <c r="I80" i="17"/>
  <c r="J80" i="17" s="1"/>
  <c r="K80" i="17"/>
  <c r="L80" i="17" s="1"/>
  <c r="I81" i="17"/>
  <c r="J81" i="17" s="1"/>
  <c r="K81" i="17"/>
  <c r="L81" i="17" s="1"/>
  <c r="I82" i="17"/>
  <c r="J82" i="17" s="1"/>
  <c r="K82" i="17"/>
  <c r="L82" i="17" s="1"/>
  <c r="I83" i="17"/>
  <c r="J83" i="17" s="1"/>
  <c r="K83" i="17"/>
  <c r="L83" i="17" s="1"/>
  <c r="I84" i="17"/>
  <c r="J84" i="17" s="1"/>
  <c r="K84" i="17"/>
  <c r="L84" i="17" s="1"/>
  <c r="I85" i="17"/>
  <c r="J85" i="17" s="1"/>
  <c r="K85" i="17"/>
  <c r="L85" i="17" s="1"/>
  <c r="I86" i="17"/>
  <c r="J86" i="17" s="1"/>
  <c r="K86" i="17"/>
  <c r="L86" i="17" s="1"/>
  <c r="I87" i="17"/>
  <c r="J87" i="17" s="1"/>
  <c r="K87" i="17"/>
  <c r="L87" i="17" s="1"/>
  <c r="I88" i="17"/>
  <c r="J88" i="17" s="1"/>
  <c r="K88" i="17"/>
  <c r="L88" i="17" s="1"/>
  <c r="I89" i="17"/>
  <c r="J89" i="17" s="1"/>
  <c r="K89" i="17"/>
  <c r="L89" i="17" s="1"/>
  <c r="I90" i="17"/>
  <c r="J90" i="17" s="1"/>
  <c r="K90" i="17"/>
  <c r="L90" i="17" s="1"/>
  <c r="I91" i="17"/>
  <c r="J91" i="17" s="1"/>
  <c r="K91" i="17"/>
  <c r="L91" i="17" s="1"/>
  <c r="I92" i="17"/>
  <c r="J92" i="17" s="1"/>
  <c r="K92" i="17"/>
  <c r="L92" i="17" s="1"/>
  <c r="I93" i="17"/>
  <c r="J93" i="17" s="1"/>
  <c r="K93" i="17"/>
  <c r="L93" i="17" s="1"/>
  <c r="I94" i="17"/>
  <c r="J94" i="17" s="1"/>
  <c r="K94" i="17"/>
  <c r="L94" i="17" s="1"/>
  <c r="I95" i="17"/>
  <c r="J95" i="17" s="1"/>
  <c r="K95" i="17"/>
  <c r="L95" i="17" s="1"/>
  <c r="I96" i="17"/>
  <c r="J96" i="17" s="1"/>
  <c r="K96" i="17"/>
  <c r="L96" i="17" s="1"/>
  <c r="I97" i="17"/>
  <c r="J97" i="17" s="1"/>
  <c r="K97" i="17"/>
  <c r="L97" i="17" s="1"/>
  <c r="I98" i="17"/>
  <c r="J98" i="17" s="1"/>
  <c r="K98" i="17"/>
  <c r="L98" i="17" s="1"/>
  <c r="I99" i="17"/>
  <c r="J99" i="17" s="1"/>
  <c r="K99" i="17"/>
  <c r="L99" i="17" s="1"/>
  <c r="I100" i="17"/>
  <c r="J100" i="17" s="1"/>
  <c r="K100" i="17"/>
  <c r="L100" i="17" s="1"/>
  <c r="I101" i="17"/>
  <c r="J101" i="17" s="1"/>
  <c r="K101" i="17"/>
  <c r="L101" i="17" s="1"/>
  <c r="I102" i="17"/>
  <c r="J102" i="17" s="1"/>
  <c r="K102" i="17"/>
  <c r="L102" i="17" s="1"/>
  <c r="I103" i="17"/>
  <c r="J103" i="17" s="1"/>
  <c r="K103" i="17"/>
  <c r="L103" i="17" s="1"/>
  <c r="I104" i="17"/>
  <c r="J104" i="17" s="1"/>
  <c r="K104" i="17"/>
  <c r="L104" i="17" s="1"/>
  <c r="I105" i="17"/>
  <c r="J105" i="17" s="1"/>
  <c r="K105" i="17"/>
  <c r="L105" i="17" s="1"/>
  <c r="I106" i="17"/>
  <c r="J106" i="17" s="1"/>
  <c r="K106" i="17"/>
  <c r="L106" i="17" s="1"/>
  <c r="I107" i="17"/>
  <c r="J107" i="17" s="1"/>
  <c r="I108" i="17"/>
  <c r="J108" i="17" s="1"/>
  <c r="I109" i="17"/>
  <c r="J109" i="17" s="1"/>
  <c r="I110" i="17"/>
  <c r="J110" i="17" s="1"/>
  <c r="I111" i="17"/>
  <c r="J111" i="17" s="1"/>
  <c r="I112" i="17"/>
  <c r="J112" i="17" s="1"/>
  <c r="I113" i="17"/>
  <c r="J113" i="17" s="1"/>
  <c r="I114" i="17"/>
  <c r="J114" i="17" s="1"/>
  <c r="I115" i="17"/>
  <c r="J115" i="17" s="1"/>
  <c r="I116" i="17"/>
  <c r="J116" i="17" s="1"/>
  <c r="I117" i="17"/>
  <c r="J117" i="17" s="1"/>
  <c r="I118" i="17"/>
  <c r="J118" i="17" s="1"/>
  <c r="I119" i="17"/>
  <c r="J119" i="17" s="1"/>
  <c r="I120" i="17"/>
  <c r="J120" i="17" s="1"/>
  <c r="I121" i="17"/>
  <c r="J121" i="17" s="1"/>
  <c r="I122" i="17"/>
  <c r="J122" i="17" s="1"/>
  <c r="I123" i="17"/>
  <c r="J123" i="17" s="1"/>
  <c r="I124" i="17"/>
  <c r="J124" i="17" s="1"/>
  <c r="I125" i="17"/>
  <c r="J125" i="17" s="1"/>
  <c r="I126" i="17"/>
  <c r="J126" i="17" s="1"/>
  <c r="I127" i="17"/>
  <c r="J127" i="17" s="1"/>
  <c r="I128" i="17"/>
  <c r="J128" i="17" s="1"/>
  <c r="I129" i="17"/>
  <c r="J129" i="17" s="1"/>
  <c r="I130" i="17"/>
  <c r="J130" i="17" s="1"/>
  <c r="I131" i="17"/>
  <c r="J131" i="17" s="1"/>
  <c r="I132" i="17"/>
  <c r="J132" i="17" s="1"/>
  <c r="I133" i="17"/>
  <c r="J133" i="17" s="1"/>
  <c r="I134" i="17"/>
  <c r="J134" i="17" s="1"/>
  <c r="I135" i="17"/>
  <c r="J135" i="17" s="1"/>
  <c r="I136" i="17"/>
  <c r="J136" i="17" s="1"/>
  <c r="I137" i="17"/>
  <c r="J137" i="17" s="1"/>
  <c r="I138" i="17"/>
  <c r="J138" i="17" s="1"/>
  <c r="I139" i="17"/>
  <c r="J139" i="17" s="1"/>
  <c r="I140" i="17"/>
  <c r="J140" i="17" s="1"/>
  <c r="I141" i="17"/>
  <c r="J141" i="17" s="1"/>
  <c r="I142" i="17"/>
  <c r="J142" i="17" s="1"/>
  <c r="I143" i="17"/>
  <c r="J143" i="17" s="1"/>
  <c r="I144" i="17"/>
  <c r="J144" i="17" s="1"/>
  <c r="I145" i="17"/>
  <c r="J145" i="17" s="1"/>
  <c r="I146" i="17"/>
  <c r="J146" i="17" s="1"/>
  <c r="I147" i="17"/>
  <c r="J147" i="17" s="1"/>
  <c r="I148" i="17"/>
  <c r="J148" i="17" s="1"/>
  <c r="I149" i="17"/>
  <c r="J149" i="17" s="1"/>
  <c r="I150" i="17"/>
  <c r="J150" i="17" s="1"/>
  <c r="I151" i="17"/>
  <c r="J151" i="17" s="1"/>
  <c r="I152" i="17"/>
  <c r="J152" i="17" s="1"/>
  <c r="I153" i="17"/>
  <c r="J153" i="17" s="1"/>
  <c r="I154" i="17"/>
  <c r="J154" i="17" s="1"/>
  <c r="I155" i="17"/>
  <c r="J155" i="17" s="1"/>
  <c r="I156" i="17"/>
  <c r="J156" i="17" s="1"/>
  <c r="I157" i="17"/>
  <c r="J157" i="17" s="1"/>
  <c r="I158" i="17"/>
  <c r="J158" i="17" s="1"/>
  <c r="I159" i="17"/>
  <c r="J159" i="17" s="1"/>
  <c r="I160" i="17"/>
  <c r="J160" i="17" s="1"/>
  <c r="I161" i="17"/>
  <c r="J161" i="17" s="1"/>
  <c r="I162" i="17"/>
  <c r="J162" i="17" s="1"/>
  <c r="I163" i="17"/>
  <c r="J163" i="17" s="1"/>
  <c r="I164" i="17"/>
  <c r="J164" i="17" s="1"/>
  <c r="I165" i="17"/>
  <c r="J165" i="17" s="1"/>
  <c r="I166" i="17"/>
  <c r="J166" i="17" s="1"/>
  <c r="I167" i="17"/>
  <c r="J167" i="17" s="1"/>
  <c r="K3" i="17"/>
  <c r="L3" i="17" s="1"/>
  <c r="I3" i="17"/>
  <c r="J3" i="17" s="1"/>
  <c r="H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E3" i="15"/>
  <c r="F3" i="15"/>
  <c r="E4" i="15"/>
  <c r="F4" i="15"/>
  <c r="E5" i="15"/>
  <c r="F5" i="15"/>
  <c r="E6" i="15"/>
  <c r="F6" i="15"/>
  <c r="E7" i="15"/>
  <c r="F7" i="15"/>
  <c r="E8" i="15"/>
  <c r="F8" i="15"/>
  <c r="E9" i="15"/>
  <c r="F9" i="15"/>
  <c r="E10" i="15"/>
  <c r="F10" i="15"/>
  <c r="E11" i="15"/>
  <c r="F11" i="15"/>
  <c r="E12" i="15"/>
  <c r="F12" i="15"/>
  <c r="E13" i="15"/>
  <c r="F13" i="15"/>
  <c r="E14" i="15"/>
  <c r="F14" i="15"/>
  <c r="E15" i="15"/>
  <c r="F15" i="15"/>
  <c r="E16" i="15"/>
  <c r="F16" i="15"/>
  <c r="E17" i="15"/>
  <c r="F17" i="15"/>
  <c r="E18" i="15"/>
  <c r="F18" i="15"/>
  <c r="E19" i="15"/>
  <c r="F19" i="15"/>
  <c r="E20" i="15"/>
  <c r="F20" i="15"/>
  <c r="E21" i="15"/>
  <c r="F21" i="15"/>
  <c r="E22" i="15"/>
  <c r="F22" i="15"/>
  <c r="E23" i="15"/>
  <c r="F23" i="15"/>
  <c r="E24" i="15"/>
  <c r="F24" i="15"/>
  <c r="E25" i="15"/>
  <c r="F25" i="15"/>
  <c r="E26" i="15"/>
  <c r="F26" i="15"/>
  <c r="E27" i="15"/>
  <c r="F27" i="15"/>
  <c r="E28" i="15"/>
  <c r="F28" i="15"/>
  <c r="E29" i="15"/>
  <c r="F29" i="15"/>
  <c r="E30" i="15"/>
  <c r="F30" i="15"/>
  <c r="E31" i="15"/>
  <c r="F31" i="15"/>
  <c r="E32" i="15"/>
  <c r="F32" i="15"/>
  <c r="E33" i="15"/>
  <c r="F33" i="15"/>
  <c r="E34" i="15"/>
  <c r="F34" i="15"/>
  <c r="E35" i="15"/>
  <c r="F35" i="15"/>
  <c r="E36" i="15"/>
  <c r="F36" i="15"/>
  <c r="E37" i="15"/>
  <c r="F37" i="15"/>
  <c r="E38" i="15"/>
  <c r="F38" i="15"/>
  <c r="E39" i="15"/>
  <c r="F39" i="15"/>
  <c r="E40" i="15"/>
  <c r="F40" i="15"/>
  <c r="E41" i="15"/>
  <c r="F41" i="15"/>
  <c r="E42" i="15"/>
  <c r="F42" i="15"/>
  <c r="E43" i="15"/>
  <c r="F43" i="15"/>
  <c r="E44" i="15"/>
  <c r="F44" i="15"/>
  <c r="E45" i="15"/>
  <c r="F45" i="15"/>
  <c r="E46" i="15"/>
  <c r="F46" i="15"/>
  <c r="E47" i="15"/>
  <c r="F47" i="15"/>
  <c r="E48" i="15"/>
  <c r="F48" i="15"/>
  <c r="E49" i="15"/>
  <c r="F49" i="15"/>
  <c r="E50" i="15"/>
  <c r="F50" i="15"/>
  <c r="E51" i="15"/>
  <c r="F51" i="15"/>
  <c r="E52" i="15"/>
  <c r="F52" i="15"/>
  <c r="E53" i="15"/>
  <c r="F53" i="15"/>
  <c r="E54" i="15"/>
  <c r="F54" i="15"/>
  <c r="E55" i="15"/>
  <c r="F55" i="15"/>
  <c r="E56" i="15"/>
  <c r="F56" i="15"/>
  <c r="E57" i="15"/>
  <c r="F57" i="15"/>
  <c r="E58" i="15"/>
  <c r="F58" i="15"/>
  <c r="E59" i="15"/>
  <c r="F59" i="15"/>
  <c r="E60" i="15"/>
  <c r="F60" i="15"/>
  <c r="E61" i="15"/>
  <c r="F61" i="15"/>
  <c r="E62" i="15"/>
  <c r="F62" i="15"/>
  <c r="E63" i="15"/>
  <c r="F63" i="15"/>
  <c r="E64" i="15"/>
  <c r="F64" i="15"/>
  <c r="E65" i="15"/>
  <c r="F65" i="15"/>
  <c r="E66" i="15"/>
  <c r="F66" i="15"/>
  <c r="E67" i="15"/>
  <c r="F67" i="15"/>
  <c r="E68" i="15"/>
  <c r="F68" i="15"/>
  <c r="E69" i="15"/>
  <c r="F69" i="15"/>
  <c r="E70" i="15"/>
  <c r="F70" i="15"/>
  <c r="E71" i="15"/>
  <c r="F71" i="15"/>
  <c r="E72" i="15"/>
  <c r="F72" i="15"/>
  <c r="E73" i="15"/>
  <c r="F73" i="15"/>
  <c r="E74" i="15"/>
  <c r="F74" i="15"/>
  <c r="E75" i="15"/>
  <c r="F75" i="15"/>
  <c r="E76" i="15"/>
  <c r="F76" i="15"/>
  <c r="E77" i="15"/>
  <c r="F77" i="15"/>
  <c r="E78" i="15"/>
  <c r="F78" i="15"/>
  <c r="E79" i="15"/>
  <c r="F79" i="15"/>
  <c r="E80" i="15"/>
  <c r="F80" i="15"/>
  <c r="E81" i="15"/>
  <c r="F81" i="15"/>
  <c r="E82" i="15"/>
  <c r="F82" i="15"/>
  <c r="E83" i="15"/>
  <c r="F83" i="15"/>
  <c r="E84" i="15"/>
  <c r="F84" i="15"/>
  <c r="E85" i="15"/>
  <c r="F85" i="15"/>
  <c r="E86" i="15"/>
  <c r="F86" i="15"/>
  <c r="E87" i="15"/>
  <c r="F87" i="15"/>
  <c r="E88" i="15"/>
  <c r="F88" i="15"/>
  <c r="E89" i="15"/>
  <c r="F89" i="15"/>
  <c r="E90" i="15"/>
  <c r="F90" i="15"/>
  <c r="E91" i="15"/>
  <c r="F91" i="15"/>
  <c r="E92" i="15"/>
  <c r="F92" i="15"/>
  <c r="E93" i="15"/>
  <c r="F93" i="15"/>
  <c r="E94" i="15"/>
  <c r="F94" i="15"/>
  <c r="E95" i="15"/>
  <c r="F95" i="15"/>
  <c r="E96" i="15"/>
  <c r="F96" i="15"/>
  <c r="E97" i="15"/>
  <c r="F97" i="15"/>
  <c r="E98" i="15"/>
  <c r="F98" i="15"/>
  <c r="E99" i="15"/>
  <c r="F99" i="15"/>
  <c r="E100" i="15"/>
  <c r="F100" i="15"/>
  <c r="E101" i="15"/>
  <c r="F101" i="15"/>
  <c r="E102" i="15"/>
  <c r="F102" i="15"/>
  <c r="E103" i="15"/>
  <c r="F103" i="15"/>
  <c r="E104" i="15"/>
  <c r="F104" i="15"/>
  <c r="E105" i="15"/>
  <c r="F105" i="15"/>
  <c r="E106" i="15"/>
  <c r="F106" i="15"/>
  <c r="E107" i="15"/>
  <c r="F107" i="15"/>
  <c r="E108" i="15"/>
  <c r="F108" i="15"/>
  <c r="E109" i="15"/>
  <c r="F109" i="15"/>
  <c r="E110" i="15"/>
  <c r="F110" i="15"/>
  <c r="E111" i="15"/>
  <c r="F111" i="15"/>
  <c r="E112" i="15"/>
  <c r="F112" i="15"/>
  <c r="E113" i="15"/>
  <c r="F113" i="15"/>
  <c r="E114" i="15"/>
  <c r="F114" i="15"/>
  <c r="E115" i="15"/>
  <c r="F115" i="15"/>
  <c r="E116" i="15"/>
  <c r="F116" i="15"/>
  <c r="E117" i="15"/>
  <c r="F117" i="15"/>
  <c r="E118" i="15"/>
  <c r="F118" i="15"/>
  <c r="E119" i="15"/>
  <c r="F119" i="15"/>
  <c r="E120" i="15"/>
  <c r="F120" i="15"/>
  <c r="E121" i="15"/>
  <c r="F121" i="15"/>
  <c r="E122" i="15"/>
  <c r="F122" i="15"/>
  <c r="E123" i="15"/>
  <c r="F123" i="15"/>
  <c r="E124" i="15"/>
  <c r="F124" i="15"/>
  <c r="E125" i="15"/>
  <c r="F125" i="15"/>
  <c r="E126" i="15"/>
  <c r="F126" i="15"/>
  <c r="E127" i="15"/>
  <c r="F127" i="15"/>
  <c r="E128" i="15"/>
  <c r="F128" i="15"/>
  <c r="E129" i="15"/>
  <c r="F129" i="15"/>
  <c r="E130" i="15"/>
  <c r="F130" i="15"/>
  <c r="E131" i="15"/>
  <c r="F131" i="15"/>
  <c r="E132" i="15"/>
  <c r="F132" i="15"/>
  <c r="E133" i="15"/>
  <c r="F133" i="15"/>
  <c r="E134" i="15"/>
  <c r="F134" i="15"/>
  <c r="E135" i="15"/>
  <c r="F135" i="15"/>
  <c r="E136" i="15"/>
  <c r="F136" i="15"/>
  <c r="E137" i="15"/>
  <c r="F137" i="15"/>
  <c r="E138" i="15"/>
  <c r="F138" i="15"/>
  <c r="E139" i="15"/>
  <c r="F139" i="15"/>
  <c r="E140" i="15"/>
  <c r="F140" i="15"/>
  <c r="E141" i="15"/>
  <c r="F141" i="15"/>
  <c r="E142" i="15"/>
  <c r="F142" i="15"/>
  <c r="E143" i="15"/>
  <c r="F143" i="15"/>
  <c r="F2" i="15"/>
  <c r="E2" i="15"/>
  <c r="E31" i="1"/>
  <c r="E30" i="1"/>
  <c r="E29" i="1"/>
  <c r="E28" i="1"/>
  <c r="C30" i="1"/>
  <c r="C20" i="2"/>
  <c r="C24" i="2"/>
  <c r="C23" i="2"/>
  <c r="C22" i="2"/>
  <c r="C21" i="2"/>
  <c r="C19" i="2"/>
  <c r="C18" i="2"/>
  <c r="C7" i="2"/>
  <c r="C6" i="2"/>
  <c r="C4" i="2"/>
  <c r="C3" i="2"/>
  <c r="M8" i="1"/>
  <c r="M9" i="1"/>
  <c r="M10" i="1"/>
  <c r="M7" i="1"/>
  <c r="M6" i="1"/>
  <c r="M5" i="1"/>
  <c r="M4" i="1"/>
  <c r="M3" i="1"/>
  <c r="J3" i="1"/>
  <c r="S20" i="1" l="1"/>
  <c r="R21" i="1" s="1"/>
  <c r="B12" i="19"/>
  <c r="B25" i="19"/>
  <c r="D25" i="19" s="1"/>
  <c r="H358" i="17"/>
  <c r="X147" i="17"/>
  <c r="N358" i="17"/>
  <c r="J358" i="17"/>
  <c r="L358" i="17"/>
  <c r="Z147" i="17"/>
  <c r="AB147" i="17"/>
  <c r="AD147" i="17"/>
</calcChain>
</file>

<file path=xl/sharedStrings.xml><?xml version="1.0" encoding="utf-8"?>
<sst xmlns="http://schemas.openxmlformats.org/spreadsheetml/2006/main" count="1098" uniqueCount="471">
  <si>
    <t>PTC (hex)</t>
  </si>
  <si>
    <t>Linear speed</t>
  </si>
  <si>
    <t>PPM</t>
  </si>
  <si>
    <t>Convert PTC command into linear speed and PPM</t>
  </si>
  <si>
    <t>Gear ratio</t>
  </si>
  <si>
    <t>Diameter</t>
  </si>
  <si>
    <t>RPM</t>
  </si>
  <si>
    <t>Pulse/rev</t>
  </si>
  <si>
    <t>Encoder Freq</t>
  </si>
  <si>
    <t>Convert Linear speed into encoder frequency or RPM and vice versa</t>
  </si>
  <si>
    <t>Convert time into length at given linear speed</t>
  </si>
  <si>
    <t>Linear Speed</t>
  </si>
  <si>
    <t>Hex To Dec</t>
  </si>
  <si>
    <t>Hex</t>
  </si>
  <si>
    <t>Dec</t>
  </si>
  <si>
    <t>Dec To Hex</t>
  </si>
  <si>
    <t>SLPQ Decode</t>
  </si>
  <si>
    <t>Submit new page</t>
  </si>
  <si>
    <t>Update last page</t>
  </si>
  <si>
    <t>Remove last page</t>
  </si>
  <si>
    <t>Default position</t>
  </si>
  <si>
    <t>Left/front position</t>
  </si>
  <si>
    <t>Right/rear position</t>
  </si>
  <si>
    <t>Do not accumulate</t>
  </si>
  <si>
    <t>Accumulate</t>
  </si>
  <si>
    <t>No hole punch</t>
  </si>
  <si>
    <t>NA 3-hole</t>
  </si>
  <si>
    <t>ISO 2-hole</t>
  </si>
  <si>
    <t>US 2-hole</t>
  </si>
  <si>
    <t>ISO 4-hole</t>
  </si>
  <si>
    <t>No staple</t>
  </si>
  <si>
    <t>Top right diagonal</t>
  </si>
  <si>
    <t>Top left diagonal</t>
  </si>
  <si>
    <t>Top left</t>
  </si>
  <si>
    <t>Top dual</t>
  </si>
  <si>
    <t>Left dual</t>
  </si>
  <si>
    <t>Top right</t>
  </si>
  <si>
    <t>Landscape dual top</t>
  </si>
  <si>
    <t>Landscape dual left</t>
  </si>
  <si>
    <t>Bi-fold</t>
  </si>
  <si>
    <t>Booklet</t>
  </si>
  <si>
    <t>C-trifold</t>
  </si>
  <si>
    <t>Z-trifold</t>
  </si>
  <si>
    <t>Z-fold</t>
  </si>
  <si>
    <t>No fold</t>
  </si>
  <si>
    <t>Pick Timestamp</t>
  </si>
  <si>
    <t>ProcessSpeed</t>
  </si>
  <si>
    <t>Gap</t>
  </si>
  <si>
    <t>Timestamp to Dist</t>
  </si>
  <si>
    <t>Timestamp 1</t>
  </si>
  <si>
    <t>Timestamp 2</t>
  </si>
  <si>
    <t>Media</t>
  </si>
  <si>
    <t>LGL</t>
  </si>
  <si>
    <t>LTR</t>
  </si>
  <si>
    <t>A4</t>
  </si>
  <si>
    <t>A5</t>
  </si>
  <si>
    <t>215.9 x 279.4</t>
  </si>
  <si>
    <t>215.9 x 355.6</t>
  </si>
  <si>
    <t>210 x 297</t>
  </si>
  <si>
    <t>148 x 210</t>
  </si>
  <si>
    <t>Pick Reliability Based on Image-Position Errors</t>
  </si>
  <si>
    <t>Source</t>
  </si>
  <si>
    <t>Source PT</t>
  </si>
  <si>
    <t>S1</t>
  </si>
  <si>
    <t>BumpExit</t>
  </si>
  <si>
    <t>2ndXfer</t>
  </si>
  <si>
    <t>Speed</t>
  </si>
  <si>
    <t>46 ppm</t>
  </si>
  <si>
    <t>TTM</t>
  </si>
  <si>
    <t>HCIT</t>
  </si>
  <si>
    <t>1TM</t>
  </si>
  <si>
    <t>20 ppm</t>
  </si>
  <si>
    <t>A5 LEF</t>
  </si>
  <si>
    <t>b</t>
  </si>
  <si>
    <t>IO Notify</t>
  </si>
  <si>
    <t>SET_SPEED</t>
  </si>
  <si>
    <t>PICK</t>
  </si>
  <si>
    <t>PTC_CONTROL</t>
  </si>
  <si>
    <t>IR</t>
  </si>
  <si>
    <t>CLEAR_IR</t>
  </si>
  <si>
    <t>PARK_DIST</t>
  </si>
  <si>
    <t>MECH_RESET</t>
  </si>
  <si>
    <t>PEXSN</t>
  </si>
  <si>
    <t>EJECT_SPEED</t>
  </si>
  <si>
    <t>SOD_ADD_PAGE</t>
  </si>
  <si>
    <t>SEL_OUT_DEST</t>
  </si>
  <si>
    <t>SIZE_NOTIF</t>
  </si>
  <si>
    <t>DMID_RECEIVED</t>
  </si>
  <si>
    <t>DOC_RECEIVED</t>
  </si>
  <si>
    <t>SLPQ_RECEIVED</t>
  </si>
  <si>
    <t>INIT_MODULE</t>
  </si>
  <si>
    <t>PAUSE_MODULE</t>
  </si>
  <si>
    <t>STOP_MODULE</t>
  </si>
  <si>
    <t>Fin State</t>
  </si>
  <si>
    <t>LE state</t>
  </si>
  <si>
    <t>Tray Mgr</t>
  </si>
  <si>
    <t>CMD_OUT_VER_INFO</t>
  </si>
  <si>
    <t>0x04</t>
  </si>
  <si>
    <t>CMD_OUT_MODEL_CODE</t>
  </si>
  <si>
    <t>0x00</t>
  </si>
  <si>
    <t>CMD_OUT_STAPLE_POS</t>
  </si>
  <si>
    <t>0x02</t>
  </si>
  <si>
    <t>CMD_OUT_PUNCH_POS</t>
  </si>
  <si>
    <t>0x03</t>
  </si>
  <si>
    <t>CMD_OUT_READY</t>
  </si>
  <si>
    <t>0x10</t>
  </si>
  <si>
    <t>CMD_OUT_BUSY</t>
  </si>
  <si>
    <t>0x11</t>
  </si>
  <si>
    <t>CMD_OUT_WAIT</t>
  </si>
  <si>
    <t>0x12</t>
  </si>
  <si>
    <t>CMD_JOB_ACCEPTED</t>
  </si>
  <si>
    <t>0x20</t>
  </si>
  <si>
    <t>CMD_JOB_REJECTED</t>
  </si>
  <si>
    <t>0x21</t>
  </si>
  <si>
    <t>CMD_JOB_COMPLETED</t>
  </si>
  <si>
    <t>0x22</t>
  </si>
  <si>
    <t>CMD_FIN_TRAY_STAT</t>
  </si>
  <si>
    <t>0x31</t>
  </si>
  <si>
    <t>CMD_SHIFT_POS_INFO</t>
  </si>
  <si>
    <t>0x32</t>
  </si>
  <si>
    <t>CMD_PAPER_PRESENCE</t>
  </si>
  <si>
    <t>0x40</t>
  </si>
  <si>
    <t>CMD_EJECT_COMPLETED</t>
  </si>
  <si>
    <t>0x41</t>
  </si>
  <si>
    <t>CMD_STAPLING</t>
  </si>
  <si>
    <t>0x42</t>
  </si>
  <si>
    <t>CMD_INVALID_INFO</t>
  </si>
  <si>
    <t>0x45</t>
  </si>
  <si>
    <t>CMD_ELEV_INFO</t>
  </si>
  <si>
    <t>0x46</t>
  </si>
  <si>
    <t>CMD_JAM_CAUSE</t>
  </si>
  <si>
    <t>0x51</t>
  </si>
  <si>
    <t>CMD_JAM_INFO</t>
  </si>
  <si>
    <t>0x54</t>
  </si>
  <si>
    <t>CMD_FIN_SENSOR_INFO</t>
  </si>
  <si>
    <t>0x55</t>
  </si>
  <si>
    <t>CMD_STAPLE_INFO</t>
  </si>
  <si>
    <t>0x70</t>
  </si>
  <si>
    <t>CMD_PUNCH_INVENTORY</t>
  </si>
  <si>
    <t>0x71</t>
  </si>
  <si>
    <t>CMD_OUT_ROM_PN</t>
  </si>
  <si>
    <t>0xBB</t>
  </si>
  <si>
    <t>CMD_NV_ADJUSTMENT</t>
  </si>
  <si>
    <t>0xBC</t>
  </si>
  <si>
    <t>CMD_PROCESS_SPEED</t>
  </si>
  <si>
    <t>0x01</t>
  </si>
  <si>
    <t>CMD_EJECT_SPEED</t>
  </si>
  <si>
    <t>CMD_MODEL_CODE</t>
  </si>
  <si>
    <t>CMD_SIZE_CODE</t>
  </si>
  <si>
    <t>CMD_SIZE_LEN_CODE</t>
  </si>
  <si>
    <t>CMD_SIZE_WIDTH_CODE</t>
  </si>
  <si>
    <t>CMD_FEED_MODE</t>
  </si>
  <si>
    <t>CMD_STAPLE_MODE</t>
  </si>
  <si>
    <t>CMD_PUNCH_MODE</t>
  </si>
  <si>
    <t>CMD_LOW_POWER</t>
  </si>
  <si>
    <t>0x24</t>
  </si>
  <si>
    <t>CMD_FOLD_MODE</t>
  </si>
  <si>
    <t>0x27</t>
  </si>
  <si>
    <t>CMD_DEST_TRAY</t>
  </si>
  <si>
    <t>0x30</t>
  </si>
  <si>
    <t>CMD_START</t>
  </si>
  <si>
    <t>CMD_STOP</t>
  </si>
  <si>
    <t>CMD_STAPLE_START</t>
  </si>
  <si>
    <t>CMD_SHIFT_ON</t>
  </si>
  <si>
    <t>0x44</t>
  </si>
  <si>
    <t>CMD_STP_TRAY_EJECT</t>
  </si>
  <si>
    <t>CMD_SIGNAL_ON</t>
  </si>
  <si>
    <t>0x50</t>
  </si>
  <si>
    <t>CMD_SIGNAL_OFF</t>
  </si>
  <si>
    <t>CMD_VELOCITY_VO</t>
  </si>
  <si>
    <t>0x53</t>
  </si>
  <si>
    <t>CMD_SPEED_SELECTION</t>
  </si>
  <si>
    <t>CMD_SPEED_NOTIFICATION</t>
  </si>
  <si>
    <t>CMD_MOTOR_CTRL</t>
  </si>
  <si>
    <t>0x63</t>
  </si>
  <si>
    <t>CMD_EXCITATION</t>
  </si>
  <si>
    <t>0x6D</t>
  </si>
  <si>
    <t>CMD_ACCEL_DECEL</t>
  </si>
  <si>
    <t>0x6F</t>
  </si>
  <si>
    <t>CMD_EN_OPS</t>
  </si>
  <si>
    <t>CMD_OUT_INIT</t>
  </si>
  <si>
    <t>0x72</t>
  </si>
  <si>
    <t>CMD_DEST_CODE</t>
  </si>
  <si>
    <t>0xD2</t>
  </si>
  <si>
    <t>CMD_OUT_ENG_STATUS</t>
  </si>
  <si>
    <t>0x05</t>
  </si>
  <si>
    <t>CMD_OUT_DEST_CODE</t>
  </si>
  <si>
    <t>CMD_OUT_ADJ_DATA</t>
  </si>
  <si>
    <t>0xB3</t>
  </si>
  <si>
    <t>CMD_OUT_DATA_INFO</t>
  </si>
  <si>
    <t>0xB4</t>
  </si>
  <si>
    <t>Output to printer</t>
  </si>
  <si>
    <t>Input to printer</t>
  </si>
  <si>
    <t>CMD_SW_VER</t>
  </si>
  <si>
    <t>CMD_DEVICE_ID</t>
  </si>
  <si>
    <t>0x07</t>
  </si>
  <si>
    <t>CMD_INIT_DONE</t>
  </si>
  <si>
    <t>0x08</t>
  </si>
  <si>
    <t>CMD_MODEL_NUM</t>
  </si>
  <si>
    <t>0x09</t>
  </si>
  <si>
    <t>CMD_COVER_STAT</t>
  </si>
  <si>
    <t>0x52</t>
  </si>
  <si>
    <t>CMD_DOOR_STAT</t>
  </si>
  <si>
    <t>CMD_ERROR</t>
  </si>
  <si>
    <t>0x5F</t>
  </si>
  <si>
    <t>CMD_T1_SIZE</t>
  </si>
  <si>
    <t>0x61</t>
  </si>
  <si>
    <t>CMD_T2_SIZE</t>
  </si>
  <si>
    <t>0x62</t>
  </si>
  <si>
    <t>CMD_T3_SIZE</t>
  </si>
  <si>
    <t>CMD_T4_SIZE</t>
  </si>
  <si>
    <t>0x64</t>
  </si>
  <si>
    <t>CMD_T1_PPR_LVL</t>
  </si>
  <si>
    <t>0x68</t>
  </si>
  <si>
    <t>CMD_T2_PPR_LVL</t>
  </si>
  <si>
    <t>0x69</t>
  </si>
  <si>
    <t>CMD_T3_PPR_LVL</t>
  </si>
  <si>
    <t>0x6A</t>
  </si>
  <si>
    <t>CMD_T4_PPR_LVL</t>
  </si>
  <si>
    <t>0x6B</t>
  </si>
  <si>
    <t>STAT_CMD_OFFSET</t>
  </si>
  <si>
    <t>CMD_T1_STATUS</t>
  </si>
  <si>
    <t>CMD_T2_STATUS</t>
  </si>
  <si>
    <t>CMD_T3_STATUS</t>
  </si>
  <si>
    <t>0x73</t>
  </si>
  <si>
    <t>CMD_T4_STATUS</t>
  </si>
  <si>
    <t>0x74</t>
  </si>
  <si>
    <t>CMD_FEED_SENSOR</t>
  </si>
  <si>
    <t>0x78</t>
  </si>
  <si>
    <t>CMD_TRANSPORT_SENSOR</t>
  </si>
  <si>
    <t>0x79</t>
  </si>
  <si>
    <t>CMD_SW_PN</t>
  </si>
  <si>
    <t>0xB1</t>
  </si>
  <si>
    <t>Printer to option</t>
  </si>
  <si>
    <t>O_Tx</t>
  </si>
  <si>
    <t>I_Rx</t>
  </si>
  <si>
    <t>O_Rx</t>
  </si>
  <si>
    <t>Landscape Op Points</t>
  </si>
  <si>
    <t>55ppm</t>
  </si>
  <si>
    <t>45ppm</t>
  </si>
  <si>
    <t>35ppm</t>
  </si>
  <si>
    <t>25ppm</t>
  </si>
  <si>
    <t>Time -&gt; Distance</t>
  </si>
  <si>
    <t>Distance -&gt; Time</t>
  </si>
  <si>
    <t>Command Acknowledgment Time</t>
  </si>
  <si>
    <t>Sensor Change Reporting</t>
  </si>
  <si>
    <t xml:space="preserve">  T2</t>
  </si>
  <si>
    <t xml:space="preserve">  T3</t>
  </si>
  <si>
    <t xml:space="preserve">  T5</t>
  </si>
  <si>
    <t>Motor Stop Command to Motor Stop</t>
  </si>
  <si>
    <t>Ricoh Communication Timing and Delays</t>
  </si>
  <si>
    <t>Motor Start Command to Motor Start</t>
  </si>
  <si>
    <t>Pick Algorithm (?)</t>
  </si>
  <si>
    <t>Estimated pick time</t>
  </si>
  <si>
    <t>End of feeding</t>
  </si>
  <si>
    <t>Park at feed</t>
  </si>
  <si>
    <t>Park at transport</t>
  </si>
  <si>
    <t>Trackstaging</t>
  </si>
  <si>
    <t>Fast pick speed</t>
  </si>
  <si>
    <t>Accel/decel profile</t>
  </si>
  <si>
    <t>Jam declaration</t>
  </si>
  <si>
    <t>Inventory reporting</t>
  </si>
  <si>
    <t>&lt; 214 us</t>
  </si>
  <si>
    <t>1.8 ms</t>
  </si>
  <si>
    <t>6.4 ms</t>
  </si>
  <si>
    <t xml:space="preserve">  T4 (2TM)</t>
  </si>
  <si>
    <t>7.0 ms</t>
  </si>
  <si>
    <t>11.3 ms</t>
  </si>
  <si>
    <t>T2 + cmd length</t>
  </si>
  <si>
    <t>T3 + cmd length</t>
  </si>
  <si>
    <t>11.8 ms</t>
  </si>
  <si>
    <t>8 ms</t>
  </si>
  <si>
    <t>ITEM</t>
  </si>
  <si>
    <t>VALUE</t>
  </si>
  <si>
    <t>NOTES</t>
  </si>
  <si>
    <t>3.8 ms</t>
  </si>
  <si>
    <t>15 ms</t>
  </si>
  <si>
    <t>24 ms</t>
  </si>
  <si>
    <t>Pick</t>
  </si>
  <si>
    <t>Feed</t>
  </si>
  <si>
    <t>Transport</t>
  </si>
  <si>
    <t>Pick To Feed</t>
  </si>
  <si>
    <t>Pick To Transport</t>
  </si>
  <si>
    <t>QDPT</t>
  </si>
  <si>
    <t>Option Late</t>
  </si>
  <si>
    <t>Image Late</t>
  </si>
  <si>
    <t>Tray5PassthroughSensorMakeTimestamp</t>
  </si>
  <si>
    <t>Tray3PassthroughSensorMakeTimestamp</t>
  </si>
  <si>
    <t>Tray2PassthroughSensorMakeTimestamp</t>
  </si>
  <si>
    <t>S1AltSensorMakeTimestamp</t>
  </si>
  <si>
    <t>S2BumpExitSensorMakeTimestamp</t>
  </si>
  <si>
    <t>FuserExitSensorMakeTimestamp</t>
  </si>
  <si>
    <t>NarrowSensorMakeTimestamp</t>
  </si>
  <si>
    <t>NearlyNarrowSensorMakeTimestamp</t>
  </si>
  <si>
    <t>FuserBubbleSensorMakeTimestamp</t>
  </si>
  <si>
    <t>T3</t>
  </si>
  <si>
    <t>T2</t>
  </si>
  <si>
    <t>T5</t>
  </si>
  <si>
    <t>AltS1</t>
  </si>
  <si>
    <t>T5 - T3</t>
  </si>
  <si>
    <t>T3 - T2</t>
  </si>
  <si>
    <t>T2-AltS1</t>
  </si>
  <si>
    <t>PickCommandTimeStamp</t>
  </si>
  <si>
    <t>Tray4PassthroughSensorMakeTimestamp</t>
  </si>
  <si>
    <t>Lawrence</t>
  </si>
  <si>
    <t>Stafford</t>
  </si>
  <si>
    <t>Lawrence(-8mm)</t>
  </si>
  <si>
    <t>Stafford(-3mm)</t>
  </si>
  <si>
    <t>PP - T5</t>
  </si>
  <si>
    <t>PickPage</t>
  </si>
  <si>
    <t>Pick - T5</t>
  </si>
  <si>
    <t>T2 -S1</t>
  </si>
  <si>
    <t>Diff</t>
  </si>
  <si>
    <t>No Staple</t>
  </si>
  <si>
    <t>Top Left</t>
  </si>
  <si>
    <t>Top Dual</t>
  </si>
  <si>
    <t>Left Dual</t>
  </si>
  <si>
    <t>Top Right Diagonal</t>
  </si>
  <si>
    <t>Top Left Diagonal</t>
  </si>
  <si>
    <t>Top Right</t>
  </si>
  <si>
    <t>No Fold</t>
  </si>
  <si>
    <t>V Fold</t>
  </si>
  <si>
    <t>V Fold Multi</t>
  </si>
  <si>
    <t>C Fold</t>
  </si>
  <si>
    <t>C Fold Multi</t>
  </si>
  <si>
    <t>Z Fold</t>
  </si>
  <si>
    <t>Z Fold Multi</t>
  </si>
  <si>
    <t>Z Fold Half</t>
  </si>
  <si>
    <t>Dimensions</t>
  </si>
  <si>
    <t>Size</t>
  </si>
  <si>
    <t>LS AOC Guide</t>
  </si>
  <si>
    <t>RICOH_INPUT_1TM</t>
  </si>
  <si>
    <t>RICOH_INPUT_2TM</t>
  </si>
  <si>
    <t>RICOH_INPUT_TTM</t>
  </si>
  <si>
    <t>RICOH_INPUT_HCIT</t>
  </si>
  <si>
    <t>RICOH_OUTPUT_HTU</t>
  </si>
  <si>
    <t>RICOH_OUTPUT_SORT_TRAY</t>
  </si>
  <si>
    <t>RICOH_OUTPUT_FDHTU</t>
  </si>
  <si>
    <t>RICOH_OUTPUT_ILS</t>
  </si>
  <si>
    <t>RICOH_OUTPUT_1KFIN</t>
  </si>
  <si>
    <t>RICOH_OUTPUT_2KFIN</t>
  </si>
  <si>
    <t>Input-&gt;AOC</t>
  </si>
  <si>
    <t>cmd</t>
  </si>
  <si>
    <t>description</t>
  </si>
  <si>
    <t>cover status</t>
  </si>
  <si>
    <t>61~67</t>
  </si>
  <si>
    <t>t1~t7 size info</t>
  </si>
  <si>
    <t>68~6e</t>
  </si>
  <si>
    <t>t1~t7 paper level</t>
  </si>
  <si>
    <t>t1~t7 status</t>
  </si>
  <si>
    <t>71~77</t>
  </si>
  <si>
    <t>feed sensor status</t>
  </si>
  <si>
    <t>transport sensor status</t>
  </si>
  <si>
    <t>device id</t>
  </si>
  <si>
    <t>Period in uS</t>
  </si>
  <si>
    <t>LT</t>
  </si>
  <si>
    <t>SEF</t>
  </si>
  <si>
    <t>Oficio</t>
  </si>
  <si>
    <t>LG</t>
  </si>
  <si>
    <t>B4</t>
  </si>
  <si>
    <t>8kai</t>
  </si>
  <si>
    <t>A3</t>
  </si>
  <si>
    <t>DLT</t>
  </si>
  <si>
    <t>SRA3</t>
  </si>
  <si>
    <t>12×18</t>
  </si>
  <si>
    <t>LEF</t>
  </si>
  <si>
    <t>B5</t>
  </si>
  <si>
    <t>Length</t>
  </si>
  <si>
    <t>medium speed</t>
  </si>
  <si>
    <t>standard linear speed</t>
  </si>
  <si>
    <t>108/108</t>
  </si>
  <si>
    <t>108/146</t>
  </si>
  <si>
    <t>146/146</t>
  </si>
  <si>
    <t>146/256</t>
  </si>
  <si>
    <t>186/350</t>
  </si>
  <si>
    <t>256/450</t>
  </si>
  <si>
    <t>GAP in ms</t>
  </si>
  <si>
    <t>Z_FOLD</t>
  </si>
  <si>
    <t>Double
Folding</t>
  </si>
  <si>
    <t>Outer
Triple
Folding</t>
  </si>
  <si>
    <t>Inner
Triple
Folding</t>
  </si>
  <si>
    <t>GAP in mm</t>
  </si>
  <si>
    <t>MAX GAP</t>
  </si>
  <si>
    <t>MIN GAP</t>
  </si>
  <si>
    <t>FIN_S_PROCESS_SPEED=0,</t>
  </si>
  <si>
    <t>FIN_S_EJECT_SPEED,</t>
  </si>
  <si>
    <t>LE_PP_FEED_SPEED_SEL,</t>
  </si>
  <si>
    <t>INPUT_MGR_INITIALIZATION,</t>
  </si>
  <si>
    <t>FIN_S_SIZE_CODE,</t>
  </si>
  <si>
    <t>LE_PP_FEED_START,</t>
  </si>
  <si>
    <t>INPUT_MGR_IDLE,</t>
  </si>
  <si>
    <t>FIN_S_SIZE_WIDTH_CODE,</t>
  </si>
  <si>
    <t>LE_W_FEED_MAKE,</t>
  </si>
  <si>
    <t>INPUT_MGR_DELAY_BEFORE_PICK,</t>
  </si>
  <si>
    <t>FIN_S_SIZE_LENGTH_CODE,</t>
  </si>
  <si>
    <t>LE_W_RESUME_FEED,</t>
  </si>
  <si>
    <t>INPUT_MGR_SPS_INFO_NOTIF,</t>
  </si>
  <si>
    <t>FIN_S_FEED_MODE,</t>
  </si>
  <si>
    <t>LE_W_FEED_AT_PROCESS_SPD_SEL,</t>
  </si>
  <si>
    <t>INPUT_MGR_PTC_STOP,</t>
  </si>
  <si>
    <t>FIN_S_FOLD_MODE,</t>
  </si>
  <si>
    <t>LE_W_FEED_AT_PROCESS_SPD_CTRL,</t>
  </si>
  <si>
    <t>INPUT_MGR_W_FOR_PICK,</t>
  </si>
  <si>
    <t>FIN_S_STAPLE_MODE,</t>
  </si>
  <si>
    <t>LE_PP_TRANSPORT_AT_FEED_SPD,</t>
  </si>
  <si>
    <t>INPUT_MGR_PICKING,</t>
  </si>
  <si>
    <t>FIN_S_PUNCH_MODE,</t>
  </si>
  <si>
    <t>LE_W_SRC_TRANSPORT_CLEAR,</t>
  </si>
  <si>
    <t>INPUT_MGR_IR_STATE,</t>
  </si>
  <si>
    <t>FIN_S_START,</t>
  </si>
  <si>
    <t>LE_W_SRC_TRANSPORT_MAKE,</t>
  </si>
  <si>
    <t>INPUT_MGR_INTERVENTION_STATE</t>
  </si>
  <si>
    <t>FIN_W_START_ACCEPTED,</t>
  </si>
  <si>
    <t>LE_PP_RETURN_TO_PROC_SPD,</t>
  </si>
  <si>
    <t>FIN_W_PAGE_AT_EXIT,</t>
  </si>
  <si>
    <t>LE_W_2ND_TRANSPORT_CLEAR,</t>
  </si>
  <si>
    <t>FIN_W_LAST_ROLLER,</t>
  </si>
  <si>
    <t>LE_W_2ND_TRANSPORT_MAKE,</t>
  </si>
  <si>
    <t>FIN_S_SIZE_CODE2,</t>
  </si>
  <si>
    <t>LE_W_1ST_TRANSPORT_CLEAR,</t>
  </si>
  <si>
    <t>FIN_S_SIZE_WIDTH_CODE2,</t>
  </si>
  <si>
    <t>LE_W_1ST_TRANSPORT_MAKE,</t>
  </si>
  <si>
    <t>FIN_S_SIZE_LENGTH_CODE2,</t>
  </si>
  <si>
    <t>LE_W_PARK,</t>
  </si>
  <si>
    <t>FIN_SEND_SHIFT_ON,</t>
  </si>
  <si>
    <t>LE_STOP_FOR_PARK,</t>
  </si>
  <si>
    <t>FIN_S_DEST_TRAY,</t>
  </si>
  <si>
    <t>LE_W_RESUME,</t>
  </si>
  <si>
    <t>FIN_S_OUT_SIGNAL_ON,</t>
  </si>
  <si>
    <t>LE_START_AFTER_PARK,</t>
  </si>
  <si>
    <t>FIN_W_STAPLE_START,</t>
  </si>
  <si>
    <t>LE_DELAY_B4_PTC_CLEAR,</t>
  </si>
  <si>
    <t>FIN_S_STAPLE,</t>
  </si>
  <si>
    <t>LE_W_PAGE_DONE,</t>
  </si>
  <si>
    <t>FIN_S_VELOCITY_VO,</t>
  </si>
  <si>
    <t>LE_IR_STATE,</t>
  </si>
  <si>
    <t>FIN_S_OUT_SIGNAL_OFF,</t>
  </si>
  <si>
    <t>LE_WAIT_RESPONSE</t>
  </si>
  <si>
    <t>FIN_S_STOP,</t>
  </si>
  <si>
    <t>FIN_W_EJECT_BLANKING,</t>
  </si>
  <si>
    <t>FIN_W_EJECT_COMPLETION,</t>
  </si>
  <si>
    <t>FIN_W_STAPLE_COMPLETION,</t>
  </si>
  <si>
    <t>FIN_W_STOP,</t>
  </si>
  <si>
    <t>FIN_W_READY,</t>
  </si>
  <si>
    <t>FIN_PROOF_STOP,</t>
  </si>
  <si>
    <t>FIN_IR_STATE,</t>
  </si>
  <si>
    <t>FIN_WAIT_RESPONSE</t>
  </si>
  <si>
    <t>LE_PP_EXCITATION=0,</t>
  </si>
  <si>
    <t>INPUT_MGR_POR = 0x00U,</t>
  </si>
  <si>
    <t>174a</t>
  </si>
  <si>
    <t>79c</t>
  </si>
  <si>
    <t>9c5</t>
  </si>
  <si>
    <t>137e</t>
  </si>
  <si>
    <t>c</t>
  </si>
  <si>
    <t>21e</t>
  </si>
  <si>
    <t>71a</t>
  </si>
  <si>
    <t>2ea</t>
  </si>
  <si>
    <t>Expected time</t>
  </si>
  <si>
    <t>Actual time</t>
  </si>
  <si>
    <t>LE to Feed</t>
  </si>
  <si>
    <t>Feed to Trans</t>
  </si>
  <si>
    <t>LE to feed</t>
  </si>
  <si>
    <t>SPS</t>
  </si>
  <si>
    <t>Actual dist equivalent</t>
  </si>
  <si>
    <t>Loss</t>
  </si>
  <si>
    <t>pick</t>
  </si>
  <si>
    <t>feed</t>
  </si>
  <si>
    <t>transport</t>
  </si>
  <si>
    <t>park loss</t>
  </si>
  <si>
    <t>39D</t>
  </si>
  <si>
    <t>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</si>
</sst>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55257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164" fontId="4" fillId="3" borderId="1" xfId="0" applyNumberFormat="1" applyFont="1" applyFill="1" applyBorder="1"/>
    <xf numFmtId="0" fontId="4" fillId="3" borderId="1" xfId="0" applyFont="1" applyFill="1" applyBorder="1"/>
    <xf numFmtId="2" fontId="4" fillId="3" borderId="1" xfId="0" applyNumberFormat="1" applyFont="1" applyFill="1" applyBorder="1"/>
    <xf numFmtId="1" fontId="4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right"/>
    </xf>
    <xf numFmtId="2" fontId="0" fillId="2" borderId="0" xfId="0" applyNumberFormat="1" applyFill="1"/>
    <xf numFmtId="165" fontId="4" fillId="3" borderId="1" xfId="0" applyNumberFormat="1" applyFont="1" applyFill="1" applyBorder="1"/>
    <xf numFmtId="0" fontId="2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7" fillId="2" borderId="0" xfId="0" applyFont="1" applyFill="1"/>
    <xf numFmtId="0" fontId="0" fillId="2" borderId="1" xfId="0" applyFill="1" applyBorder="1"/>
    <xf numFmtId="2" fontId="0" fillId="3" borderId="1" xfId="0" applyNumberFormat="1" applyFill="1" applyBorder="1"/>
    <xf numFmtId="0" fontId="8" fillId="2" borderId="1" xfId="0" applyFont="1" applyFill="1" applyBorder="1"/>
    <xf numFmtId="0" fontId="0" fillId="2" borderId="4" xfId="0" applyFill="1" applyBorder="1"/>
    <xf numFmtId="0" fontId="7" fillId="0" borderId="0" xfId="0" applyFont="1"/>
    <xf numFmtId="0" fontId="0" fillId="5" borderId="0" xfId="0" applyFill="1"/>
    <xf numFmtId="11" fontId="2" fillId="4" borderId="1" xfId="0" quotePrefix="1" applyNumberFormat="1" applyFont="1" applyFill="1" applyBorder="1" applyAlignment="1">
      <alignment horizontal="center"/>
    </xf>
    <xf numFmtId="0" fontId="0" fillId="0" borderId="1" xfId="0" applyBorder="1"/>
    <xf numFmtId="0" fontId="2" fillId="0" borderId="3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right"/>
    </xf>
    <xf numFmtId="165" fontId="0" fillId="2" borderId="0" xfId="0" applyNumberFormat="1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2" borderId="0" xfId="0" applyNumberFormat="1" applyFill="1"/>
    <xf numFmtId="0" fontId="10" fillId="2" borderId="0" xfId="0" applyFont="1" applyFill="1"/>
    <xf numFmtId="0" fontId="0" fillId="2" borderId="0" xfId="0" quotePrefix="1" applyFill="1"/>
    <xf numFmtId="0" fontId="2" fillId="4" borderId="1" xfId="0" applyFont="1" applyFill="1" applyBorder="1"/>
    <xf numFmtId="0" fontId="10" fillId="2" borderId="0" xfId="0" applyFont="1" applyFill="1" applyAlignment="1">
      <alignment horizontal="center"/>
    </xf>
    <xf numFmtId="165" fontId="0" fillId="2" borderId="0" xfId="0" quotePrefix="1" applyNumberForma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52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Error@Source Passthru</a:t>
            </a:r>
          </a:p>
          <a:p>
            <a:pPr>
              <a:defRPr/>
            </a:pPr>
            <a:r>
              <a:rPr lang="en-US"/>
              <a:t>LTR, 46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HCIT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'v1.16'!$D$5:$D$24</c:f>
              <c:numCache>
                <c:formatCode>General</c:formatCode>
                <c:ptCount val="20"/>
                <c:pt idx="0">
                  <c:v>7.6</c:v>
                </c:pt>
                <c:pt idx="1">
                  <c:v>3.01</c:v>
                </c:pt>
                <c:pt idx="2">
                  <c:v>7.77</c:v>
                </c:pt>
                <c:pt idx="3">
                  <c:v>0.16</c:v>
                </c:pt>
                <c:pt idx="4">
                  <c:v>-0.26</c:v>
                </c:pt>
                <c:pt idx="5">
                  <c:v>2.2000000000000002</c:v>
                </c:pt>
                <c:pt idx="6">
                  <c:v>-0.31</c:v>
                </c:pt>
                <c:pt idx="7">
                  <c:v>2.2400000000000002</c:v>
                </c:pt>
                <c:pt idx="8">
                  <c:v>-2.73</c:v>
                </c:pt>
                <c:pt idx="9">
                  <c:v>-0.56000000000000005</c:v>
                </c:pt>
                <c:pt idx="10">
                  <c:v>-0.52</c:v>
                </c:pt>
                <c:pt idx="11">
                  <c:v>-0.31</c:v>
                </c:pt>
                <c:pt idx="12">
                  <c:v>4.67</c:v>
                </c:pt>
                <c:pt idx="13">
                  <c:v>-0.69</c:v>
                </c:pt>
                <c:pt idx="14">
                  <c:v>-0.6</c:v>
                </c:pt>
                <c:pt idx="15">
                  <c:v>1.9</c:v>
                </c:pt>
                <c:pt idx="16">
                  <c:v>1.99</c:v>
                </c:pt>
                <c:pt idx="17">
                  <c:v>-0.99</c:v>
                </c:pt>
                <c:pt idx="18">
                  <c:v>1.56</c:v>
                </c:pt>
                <c:pt idx="19">
                  <c:v>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3CC-94BF-E8D2E05E414D}"/>
            </c:ext>
          </c:extLst>
        </c:ser>
        <c:ser>
          <c:idx val="1"/>
          <c:order val="1"/>
          <c:tx>
            <c:v>TTM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'v1.16'!$D$25:$D$43</c:f>
              <c:numCache>
                <c:formatCode>General</c:formatCode>
                <c:ptCount val="19"/>
                <c:pt idx="0">
                  <c:v>2.5</c:v>
                </c:pt>
                <c:pt idx="1">
                  <c:v>-2.6</c:v>
                </c:pt>
                <c:pt idx="2">
                  <c:v>0.24</c:v>
                </c:pt>
                <c:pt idx="3">
                  <c:v>5</c:v>
                </c:pt>
                <c:pt idx="4">
                  <c:v>4.7</c:v>
                </c:pt>
                <c:pt idx="5">
                  <c:v>-0.35</c:v>
                </c:pt>
                <c:pt idx="6">
                  <c:v>9.89</c:v>
                </c:pt>
                <c:pt idx="7">
                  <c:v>-0.52</c:v>
                </c:pt>
                <c:pt idx="8">
                  <c:v>4.24</c:v>
                </c:pt>
                <c:pt idx="9">
                  <c:v>-0.39</c:v>
                </c:pt>
                <c:pt idx="10">
                  <c:v>-1.29</c:v>
                </c:pt>
                <c:pt idx="11">
                  <c:v>1.0900000000000001</c:v>
                </c:pt>
                <c:pt idx="12">
                  <c:v>-8.93</c:v>
                </c:pt>
                <c:pt idx="13">
                  <c:v>-11.48</c:v>
                </c:pt>
                <c:pt idx="14">
                  <c:v>-11.82</c:v>
                </c:pt>
                <c:pt idx="15">
                  <c:v>-11.82</c:v>
                </c:pt>
                <c:pt idx="16">
                  <c:v>-12.46</c:v>
                </c:pt>
                <c:pt idx="17">
                  <c:v>-10.16</c:v>
                </c:pt>
                <c:pt idx="18">
                  <c:v>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C-43CC-94BF-E8D2E05E414D}"/>
            </c:ext>
          </c:extLst>
        </c:ser>
        <c:ser>
          <c:idx val="2"/>
          <c:order val="2"/>
          <c:tx>
            <c:v>1TM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'v1.16'!$D$44:$D$64</c:f>
              <c:numCache>
                <c:formatCode>General</c:formatCode>
                <c:ptCount val="21"/>
                <c:pt idx="0">
                  <c:v>-2.48</c:v>
                </c:pt>
                <c:pt idx="1">
                  <c:v>4.0199999999999996</c:v>
                </c:pt>
                <c:pt idx="2">
                  <c:v>4.32</c:v>
                </c:pt>
                <c:pt idx="3">
                  <c:v>4.28</c:v>
                </c:pt>
                <c:pt idx="4">
                  <c:v>-1.03</c:v>
                </c:pt>
                <c:pt idx="5">
                  <c:v>4.32</c:v>
                </c:pt>
                <c:pt idx="6">
                  <c:v>1.43</c:v>
                </c:pt>
                <c:pt idx="7">
                  <c:v>1.43</c:v>
                </c:pt>
                <c:pt idx="8">
                  <c:v>1.56</c:v>
                </c:pt>
                <c:pt idx="9">
                  <c:v>0.8</c:v>
                </c:pt>
                <c:pt idx="10">
                  <c:v>1.01</c:v>
                </c:pt>
                <c:pt idx="11">
                  <c:v>3.6</c:v>
                </c:pt>
                <c:pt idx="12">
                  <c:v>1.22</c:v>
                </c:pt>
                <c:pt idx="13">
                  <c:v>-1.41</c:v>
                </c:pt>
                <c:pt idx="14">
                  <c:v>3.56</c:v>
                </c:pt>
                <c:pt idx="15">
                  <c:v>5.94</c:v>
                </c:pt>
                <c:pt idx="16">
                  <c:v>-1.71</c:v>
                </c:pt>
                <c:pt idx="17">
                  <c:v>0.33</c:v>
                </c:pt>
                <c:pt idx="18">
                  <c:v>0.5</c:v>
                </c:pt>
                <c:pt idx="19">
                  <c:v>0.57999999999999996</c:v>
                </c:pt>
                <c:pt idx="20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7C-43CC-94BF-E8D2E05E4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471592"/>
        <c:axId val="589470936"/>
      </c:scatterChart>
      <c:valAx>
        <c:axId val="58947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0936"/>
        <c:crosses val="autoZero"/>
        <c:crossBetween val="midCat"/>
      </c:valAx>
      <c:valAx>
        <c:axId val="58947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1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Error@Source Passthru</a:t>
            </a:r>
          </a:p>
          <a:p>
            <a:pPr>
              <a:defRPr/>
            </a:pPr>
            <a:r>
              <a:rPr lang="en-US"/>
              <a:t>LTR, 20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HCIT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'v1.16'!$D$105:$D$124</c:f>
              <c:numCache>
                <c:formatCode>General</c:formatCode>
                <c:ptCount val="20"/>
                <c:pt idx="0">
                  <c:v>-10.039999999999999</c:v>
                </c:pt>
                <c:pt idx="1">
                  <c:v>-8.1</c:v>
                </c:pt>
                <c:pt idx="2">
                  <c:v>-8.1300000000000008</c:v>
                </c:pt>
                <c:pt idx="3">
                  <c:v>-9.42</c:v>
                </c:pt>
                <c:pt idx="4">
                  <c:v>-8.51</c:v>
                </c:pt>
                <c:pt idx="5">
                  <c:v>-7.57</c:v>
                </c:pt>
                <c:pt idx="6">
                  <c:v>-9.9499999999999993</c:v>
                </c:pt>
                <c:pt idx="7">
                  <c:v>-10.25</c:v>
                </c:pt>
                <c:pt idx="8">
                  <c:v>-9.3800000000000008</c:v>
                </c:pt>
                <c:pt idx="9">
                  <c:v>-7.28</c:v>
                </c:pt>
                <c:pt idx="10">
                  <c:v>-7.47</c:v>
                </c:pt>
                <c:pt idx="11">
                  <c:v>-8.76</c:v>
                </c:pt>
                <c:pt idx="12">
                  <c:v>-10.210000000000001</c:v>
                </c:pt>
                <c:pt idx="13">
                  <c:v>-8.27</c:v>
                </c:pt>
                <c:pt idx="14">
                  <c:v>-9.4</c:v>
                </c:pt>
                <c:pt idx="15">
                  <c:v>-7.47</c:v>
                </c:pt>
                <c:pt idx="16">
                  <c:v>-8.83</c:v>
                </c:pt>
                <c:pt idx="17">
                  <c:v>-6.83</c:v>
                </c:pt>
                <c:pt idx="18">
                  <c:v>-9.2100000000000009</c:v>
                </c:pt>
                <c:pt idx="19">
                  <c:v>-9.3800000000000008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F-492C-8115-48662E1DD304}"/>
            </c:ext>
          </c:extLst>
        </c:ser>
        <c:ser>
          <c:idx val="1"/>
          <c:order val="1"/>
          <c:tx>
            <c:v>TTM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'v1.16'!$D$85:$D$104</c:f>
              <c:numCache>
                <c:formatCode>General</c:formatCode>
                <c:ptCount val="20"/>
                <c:pt idx="0">
                  <c:v>-14.22</c:v>
                </c:pt>
                <c:pt idx="1">
                  <c:v>-7.65</c:v>
                </c:pt>
                <c:pt idx="2">
                  <c:v>-8.02</c:v>
                </c:pt>
                <c:pt idx="3">
                  <c:v>-8.23</c:v>
                </c:pt>
                <c:pt idx="4">
                  <c:v>-9.44</c:v>
                </c:pt>
                <c:pt idx="5">
                  <c:v>-9.84</c:v>
                </c:pt>
                <c:pt idx="6">
                  <c:v>-9.89</c:v>
                </c:pt>
                <c:pt idx="7">
                  <c:v>-9.93</c:v>
                </c:pt>
                <c:pt idx="8">
                  <c:v>-11.39</c:v>
                </c:pt>
                <c:pt idx="9">
                  <c:v>-8.5</c:v>
                </c:pt>
                <c:pt idx="10">
                  <c:v>-10.93</c:v>
                </c:pt>
                <c:pt idx="11">
                  <c:v>-10.08</c:v>
                </c:pt>
                <c:pt idx="12">
                  <c:v>-12.5</c:v>
                </c:pt>
                <c:pt idx="13">
                  <c:v>-9.23</c:v>
                </c:pt>
                <c:pt idx="14">
                  <c:v>-9.48</c:v>
                </c:pt>
                <c:pt idx="15">
                  <c:v>-9.69</c:v>
                </c:pt>
                <c:pt idx="16">
                  <c:v>-9.89</c:v>
                </c:pt>
                <c:pt idx="17">
                  <c:v>-8.9499999999999993</c:v>
                </c:pt>
                <c:pt idx="18">
                  <c:v>-10.16</c:v>
                </c:pt>
                <c:pt idx="19">
                  <c:v>-10.35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EF-492C-8115-48662E1DD304}"/>
            </c:ext>
          </c:extLst>
        </c:ser>
        <c:ser>
          <c:idx val="2"/>
          <c:order val="2"/>
          <c:tx>
            <c:v>1TM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'v1.16'!$D$65:$D$84</c:f>
              <c:numCache>
                <c:formatCode>General</c:formatCode>
                <c:ptCount val="20"/>
                <c:pt idx="0">
                  <c:v>-9.39</c:v>
                </c:pt>
                <c:pt idx="1">
                  <c:v>-5.25</c:v>
                </c:pt>
                <c:pt idx="2">
                  <c:v>-6.46</c:v>
                </c:pt>
                <c:pt idx="3">
                  <c:v>-4.4000000000000004</c:v>
                </c:pt>
                <c:pt idx="4">
                  <c:v>-5.65</c:v>
                </c:pt>
                <c:pt idx="5">
                  <c:v>-6.08</c:v>
                </c:pt>
                <c:pt idx="6">
                  <c:v>-6.1</c:v>
                </c:pt>
                <c:pt idx="7">
                  <c:v>-4.04</c:v>
                </c:pt>
                <c:pt idx="8">
                  <c:v>-5.46</c:v>
                </c:pt>
                <c:pt idx="9">
                  <c:v>-4.46</c:v>
                </c:pt>
                <c:pt idx="10">
                  <c:v>-6.82</c:v>
                </c:pt>
                <c:pt idx="11">
                  <c:v>-3.74</c:v>
                </c:pt>
                <c:pt idx="12">
                  <c:v>-3.95</c:v>
                </c:pt>
                <c:pt idx="13">
                  <c:v>-5.08</c:v>
                </c:pt>
                <c:pt idx="14">
                  <c:v>-6.42</c:v>
                </c:pt>
                <c:pt idx="15">
                  <c:v>-4.4000000000000004</c:v>
                </c:pt>
                <c:pt idx="16">
                  <c:v>-5.8</c:v>
                </c:pt>
                <c:pt idx="17">
                  <c:v>-5</c:v>
                </c:pt>
                <c:pt idx="18">
                  <c:v>-4.12</c:v>
                </c:pt>
                <c:pt idx="19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EF-492C-8115-48662E1DD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471592"/>
        <c:axId val="589470936"/>
      </c:scatterChart>
      <c:valAx>
        <c:axId val="58947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0936"/>
        <c:crosses val="autoZero"/>
        <c:crossBetween val="midCat"/>
      </c:valAx>
      <c:valAx>
        <c:axId val="58947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1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stafford_qds1!$G$2:$G$2606</c:f>
              <c:numCache>
                <c:formatCode>General</c:formatCode>
                <c:ptCount val="2605"/>
                <c:pt idx="0">
                  <c:v>0.40799999999999997</c:v>
                </c:pt>
                <c:pt idx="1">
                  <c:v>0.40799999999999997</c:v>
                </c:pt>
                <c:pt idx="2">
                  <c:v>0.40799999999999997</c:v>
                </c:pt>
                <c:pt idx="3">
                  <c:v>0.40799999999999997</c:v>
                </c:pt>
                <c:pt idx="4">
                  <c:v>0.40799999999999997</c:v>
                </c:pt>
                <c:pt idx="5">
                  <c:v>0.40799999999999997</c:v>
                </c:pt>
                <c:pt idx="6">
                  <c:v>0.40799999999999997</c:v>
                </c:pt>
                <c:pt idx="7">
                  <c:v>0.40799999999999997</c:v>
                </c:pt>
                <c:pt idx="8">
                  <c:v>0.40799999999999997</c:v>
                </c:pt>
                <c:pt idx="9">
                  <c:v>0.40799999999999997</c:v>
                </c:pt>
                <c:pt idx="10">
                  <c:v>0.40799999999999997</c:v>
                </c:pt>
                <c:pt idx="11">
                  <c:v>0.40799999999999997</c:v>
                </c:pt>
                <c:pt idx="12">
                  <c:v>0.40799999999999997</c:v>
                </c:pt>
                <c:pt idx="13">
                  <c:v>0.40799999999999997</c:v>
                </c:pt>
                <c:pt idx="14">
                  <c:v>0.40799999999999997</c:v>
                </c:pt>
                <c:pt idx="15">
                  <c:v>0.40799999999999997</c:v>
                </c:pt>
                <c:pt idx="16">
                  <c:v>0.40799999999999997</c:v>
                </c:pt>
                <c:pt idx="17">
                  <c:v>0.40799999999999997</c:v>
                </c:pt>
                <c:pt idx="18">
                  <c:v>0.40799999999999997</c:v>
                </c:pt>
                <c:pt idx="19">
                  <c:v>0.40799999999999997</c:v>
                </c:pt>
                <c:pt idx="20">
                  <c:v>0.40799999999999997</c:v>
                </c:pt>
                <c:pt idx="21">
                  <c:v>0.40799999999999997</c:v>
                </c:pt>
                <c:pt idx="22">
                  <c:v>0.40799999999999997</c:v>
                </c:pt>
                <c:pt idx="23">
                  <c:v>0.40799999999999997</c:v>
                </c:pt>
                <c:pt idx="24">
                  <c:v>0.40799999999999997</c:v>
                </c:pt>
                <c:pt idx="25">
                  <c:v>0.40799999999999997</c:v>
                </c:pt>
                <c:pt idx="26">
                  <c:v>0.40799999999999997</c:v>
                </c:pt>
                <c:pt idx="27">
                  <c:v>0.40799999999999997</c:v>
                </c:pt>
                <c:pt idx="28">
                  <c:v>0.40799999999999997</c:v>
                </c:pt>
                <c:pt idx="29">
                  <c:v>0.40799999999999997</c:v>
                </c:pt>
                <c:pt idx="30">
                  <c:v>0.40799999999999997</c:v>
                </c:pt>
                <c:pt idx="31">
                  <c:v>0.40799999999999997</c:v>
                </c:pt>
                <c:pt idx="32">
                  <c:v>0.40799999999999997</c:v>
                </c:pt>
                <c:pt idx="33">
                  <c:v>0.40799999999999997</c:v>
                </c:pt>
                <c:pt idx="34">
                  <c:v>0.40799999999999997</c:v>
                </c:pt>
                <c:pt idx="35">
                  <c:v>0.40799999999999997</c:v>
                </c:pt>
                <c:pt idx="36">
                  <c:v>0.40799999999999997</c:v>
                </c:pt>
                <c:pt idx="37">
                  <c:v>0.40799999999999997</c:v>
                </c:pt>
                <c:pt idx="38">
                  <c:v>0.40799999999999997</c:v>
                </c:pt>
                <c:pt idx="39">
                  <c:v>0.40799999999999997</c:v>
                </c:pt>
                <c:pt idx="40">
                  <c:v>0.40799999999999997</c:v>
                </c:pt>
                <c:pt idx="41">
                  <c:v>0.40799999999999997</c:v>
                </c:pt>
                <c:pt idx="42">
                  <c:v>0.40799999999999997</c:v>
                </c:pt>
                <c:pt idx="43">
                  <c:v>0.40799999999999997</c:v>
                </c:pt>
                <c:pt idx="44">
                  <c:v>0.40799999999999997</c:v>
                </c:pt>
                <c:pt idx="45">
                  <c:v>0.40799999999999997</c:v>
                </c:pt>
                <c:pt idx="46">
                  <c:v>0.40799999999999997</c:v>
                </c:pt>
                <c:pt idx="47">
                  <c:v>0.40799999999999997</c:v>
                </c:pt>
                <c:pt idx="48">
                  <c:v>0.40799999999999997</c:v>
                </c:pt>
                <c:pt idx="49">
                  <c:v>0.40799999999999997</c:v>
                </c:pt>
                <c:pt idx="50">
                  <c:v>0.40799999999999997</c:v>
                </c:pt>
                <c:pt idx="51">
                  <c:v>0.40799999999999997</c:v>
                </c:pt>
                <c:pt idx="52">
                  <c:v>0.40799999999999997</c:v>
                </c:pt>
                <c:pt idx="53">
                  <c:v>0.40799999999999997</c:v>
                </c:pt>
                <c:pt idx="54">
                  <c:v>0.40799999999999997</c:v>
                </c:pt>
                <c:pt idx="55">
                  <c:v>0.40799999999999997</c:v>
                </c:pt>
                <c:pt idx="56">
                  <c:v>0.40799999999999997</c:v>
                </c:pt>
                <c:pt idx="57">
                  <c:v>0.40799999999999997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0.40799999999999997</c:v>
                </c:pt>
                <c:pt idx="61">
                  <c:v>0.40799999999999997</c:v>
                </c:pt>
                <c:pt idx="62">
                  <c:v>0.40799999999999997</c:v>
                </c:pt>
                <c:pt idx="63">
                  <c:v>0.40799999999999997</c:v>
                </c:pt>
                <c:pt idx="64">
                  <c:v>0.40799999999999997</c:v>
                </c:pt>
                <c:pt idx="65">
                  <c:v>0.40799999999999997</c:v>
                </c:pt>
                <c:pt idx="66">
                  <c:v>0.40799999999999997</c:v>
                </c:pt>
                <c:pt idx="67">
                  <c:v>0.40799999999999997</c:v>
                </c:pt>
                <c:pt idx="68">
                  <c:v>0.40799999999999997</c:v>
                </c:pt>
                <c:pt idx="69">
                  <c:v>0.40799999999999997</c:v>
                </c:pt>
                <c:pt idx="70">
                  <c:v>0.40799999999999997</c:v>
                </c:pt>
                <c:pt idx="71">
                  <c:v>0.40799999999999997</c:v>
                </c:pt>
                <c:pt idx="72">
                  <c:v>0.40799999999999997</c:v>
                </c:pt>
                <c:pt idx="73">
                  <c:v>0.40799999999999997</c:v>
                </c:pt>
                <c:pt idx="74">
                  <c:v>0.40799999999999997</c:v>
                </c:pt>
                <c:pt idx="75">
                  <c:v>0.40799999999999997</c:v>
                </c:pt>
                <c:pt idx="76">
                  <c:v>0.40799999999999997</c:v>
                </c:pt>
                <c:pt idx="77">
                  <c:v>0.40799999999999997</c:v>
                </c:pt>
                <c:pt idx="78">
                  <c:v>0.40799999999999997</c:v>
                </c:pt>
                <c:pt idx="79">
                  <c:v>0.40799999999999997</c:v>
                </c:pt>
                <c:pt idx="80">
                  <c:v>0.40799999999999997</c:v>
                </c:pt>
                <c:pt idx="81">
                  <c:v>0.40799999999999997</c:v>
                </c:pt>
                <c:pt idx="82">
                  <c:v>0.40799999999999997</c:v>
                </c:pt>
                <c:pt idx="83">
                  <c:v>0.40799999999999997</c:v>
                </c:pt>
                <c:pt idx="84">
                  <c:v>0.40799999999999997</c:v>
                </c:pt>
                <c:pt idx="85">
                  <c:v>0.40799999999999997</c:v>
                </c:pt>
                <c:pt idx="86">
                  <c:v>0.40799999999999997</c:v>
                </c:pt>
                <c:pt idx="87">
                  <c:v>0.40799999999999997</c:v>
                </c:pt>
                <c:pt idx="88">
                  <c:v>0.40799999999999997</c:v>
                </c:pt>
                <c:pt idx="89">
                  <c:v>0.40799999999999997</c:v>
                </c:pt>
                <c:pt idx="90">
                  <c:v>0.40799999999999997</c:v>
                </c:pt>
                <c:pt idx="91">
                  <c:v>0.40799999999999997</c:v>
                </c:pt>
                <c:pt idx="92">
                  <c:v>0.40799999999999997</c:v>
                </c:pt>
                <c:pt idx="93">
                  <c:v>0.40799999999999997</c:v>
                </c:pt>
                <c:pt idx="94">
                  <c:v>0.40799999999999997</c:v>
                </c:pt>
                <c:pt idx="95">
                  <c:v>0.40799999999999997</c:v>
                </c:pt>
                <c:pt idx="96">
                  <c:v>0.40799999999999997</c:v>
                </c:pt>
                <c:pt idx="97">
                  <c:v>0.40799999999999997</c:v>
                </c:pt>
                <c:pt idx="98">
                  <c:v>0.40799999999999997</c:v>
                </c:pt>
                <c:pt idx="99">
                  <c:v>0.40799999999999997</c:v>
                </c:pt>
                <c:pt idx="100">
                  <c:v>0.40799999999999997</c:v>
                </c:pt>
                <c:pt idx="101">
                  <c:v>0.40799999999999997</c:v>
                </c:pt>
                <c:pt idx="102">
                  <c:v>0.40799999999999997</c:v>
                </c:pt>
                <c:pt idx="103">
                  <c:v>0.40799999999999997</c:v>
                </c:pt>
                <c:pt idx="104">
                  <c:v>0.40799999999999997</c:v>
                </c:pt>
                <c:pt idx="105">
                  <c:v>0.40799999999999997</c:v>
                </c:pt>
                <c:pt idx="106">
                  <c:v>0.40799999999999997</c:v>
                </c:pt>
                <c:pt idx="107">
                  <c:v>0.40799999999999997</c:v>
                </c:pt>
                <c:pt idx="108">
                  <c:v>0.40799999999999997</c:v>
                </c:pt>
                <c:pt idx="109">
                  <c:v>0.40799999999999997</c:v>
                </c:pt>
                <c:pt idx="110">
                  <c:v>0.40799999999999997</c:v>
                </c:pt>
                <c:pt idx="111">
                  <c:v>0.40799999999999997</c:v>
                </c:pt>
                <c:pt idx="112">
                  <c:v>0.40799999999999997</c:v>
                </c:pt>
                <c:pt idx="113">
                  <c:v>0.40799999999999997</c:v>
                </c:pt>
                <c:pt idx="114">
                  <c:v>0.40799999999999997</c:v>
                </c:pt>
                <c:pt idx="115">
                  <c:v>0.40799999999999997</c:v>
                </c:pt>
                <c:pt idx="116">
                  <c:v>0.40799999999999997</c:v>
                </c:pt>
                <c:pt idx="117">
                  <c:v>0.40799999999999997</c:v>
                </c:pt>
                <c:pt idx="118">
                  <c:v>0.40799999999999997</c:v>
                </c:pt>
                <c:pt idx="119">
                  <c:v>0.40799999999999997</c:v>
                </c:pt>
                <c:pt idx="120">
                  <c:v>0.40799999999999997</c:v>
                </c:pt>
                <c:pt idx="121">
                  <c:v>0.40799999999999997</c:v>
                </c:pt>
                <c:pt idx="122">
                  <c:v>0.40799999999999997</c:v>
                </c:pt>
                <c:pt idx="123">
                  <c:v>0.40799999999999997</c:v>
                </c:pt>
                <c:pt idx="124">
                  <c:v>0.40799999999999997</c:v>
                </c:pt>
                <c:pt idx="125">
                  <c:v>0.40799999999999997</c:v>
                </c:pt>
                <c:pt idx="126">
                  <c:v>0.40799999999999997</c:v>
                </c:pt>
                <c:pt idx="127">
                  <c:v>0.40799999999999997</c:v>
                </c:pt>
                <c:pt idx="128">
                  <c:v>0.40799999999999997</c:v>
                </c:pt>
                <c:pt idx="129">
                  <c:v>0.40799999999999997</c:v>
                </c:pt>
                <c:pt idx="130">
                  <c:v>0.40799999999999997</c:v>
                </c:pt>
                <c:pt idx="131">
                  <c:v>0.40799999999999997</c:v>
                </c:pt>
                <c:pt idx="132">
                  <c:v>0.40799999999999997</c:v>
                </c:pt>
                <c:pt idx="133">
                  <c:v>0.40799999999999997</c:v>
                </c:pt>
                <c:pt idx="134">
                  <c:v>0.40799999999999997</c:v>
                </c:pt>
                <c:pt idx="135">
                  <c:v>0.40799999999999997</c:v>
                </c:pt>
                <c:pt idx="136">
                  <c:v>0.40799999999999997</c:v>
                </c:pt>
                <c:pt idx="137">
                  <c:v>0.40799999999999997</c:v>
                </c:pt>
                <c:pt idx="138">
                  <c:v>0.40799999999999997</c:v>
                </c:pt>
                <c:pt idx="139">
                  <c:v>0.40799999999999997</c:v>
                </c:pt>
                <c:pt idx="140">
                  <c:v>0.40799999999999997</c:v>
                </c:pt>
                <c:pt idx="141">
                  <c:v>0.40799999999999997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6-4D16-9DC7-29C2AB31B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943144"/>
        <c:axId val="343941504"/>
      </c:lineChart>
      <c:catAx>
        <c:axId val="343943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41504"/>
        <c:crosses val="autoZero"/>
        <c:auto val="1"/>
        <c:lblAlgn val="ctr"/>
        <c:lblOffset val="100"/>
        <c:noMultiLvlLbl val="0"/>
      </c:catAx>
      <c:valAx>
        <c:axId val="34394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43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stafford_qds1!$H$2:$H$143</c:f>
              <c:numCache>
                <c:formatCode>General</c:formatCode>
                <c:ptCount val="142"/>
                <c:pt idx="0">
                  <c:v>6.2452499999981894</c:v>
                </c:pt>
                <c:pt idx="1">
                  <c:v>6.2452499999981894</c:v>
                </c:pt>
                <c:pt idx="2">
                  <c:v>6.2452499999981894</c:v>
                </c:pt>
                <c:pt idx="3">
                  <c:v>6.2452499999981894</c:v>
                </c:pt>
                <c:pt idx="4">
                  <c:v>5.4958200000727109</c:v>
                </c:pt>
                <c:pt idx="5">
                  <c:v>6.2452499999981894</c:v>
                </c:pt>
                <c:pt idx="6">
                  <c:v>6.2452499999981894</c:v>
                </c:pt>
                <c:pt idx="7">
                  <c:v>6.2452499999981894</c:v>
                </c:pt>
                <c:pt idx="8">
                  <c:v>6.2452499999981894</c:v>
                </c:pt>
                <c:pt idx="9">
                  <c:v>6.2452499999981894</c:v>
                </c:pt>
                <c:pt idx="10">
                  <c:v>6.2452499999981894</c:v>
                </c:pt>
                <c:pt idx="11">
                  <c:v>6.2452499999981894</c:v>
                </c:pt>
                <c:pt idx="12">
                  <c:v>6.2452499999981894</c:v>
                </c:pt>
                <c:pt idx="13">
                  <c:v>4.4965800000963396</c:v>
                </c:pt>
                <c:pt idx="14">
                  <c:v>6.2452499999981894</c:v>
                </c:pt>
                <c:pt idx="15">
                  <c:v>6.2452499999981894</c:v>
                </c:pt>
                <c:pt idx="16">
                  <c:v>6.2452499999981894</c:v>
                </c:pt>
                <c:pt idx="17">
                  <c:v>5.4958200000727109</c:v>
                </c:pt>
                <c:pt idx="18">
                  <c:v>5.4958200000727109</c:v>
                </c:pt>
                <c:pt idx="19">
                  <c:v>5.4958200000727109</c:v>
                </c:pt>
                <c:pt idx="20">
                  <c:v>6.2452499999981894</c:v>
                </c:pt>
                <c:pt idx="21">
                  <c:v>5.4958200000727109</c:v>
                </c:pt>
                <c:pt idx="22">
                  <c:v>6.2452499999981894</c:v>
                </c:pt>
                <c:pt idx="23">
                  <c:v>4.4965800000963396</c:v>
                </c:pt>
                <c:pt idx="24">
                  <c:v>6.2452499999981894</c:v>
                </c:pt>
                <c:pt idx="25">
                  <c:v>4.4965800000963396</c:v>
                </c:pt>
                <c:pt idx="26">
                  <c:v>6.2452499999981894</c:v>
                </c:pt>
                <c:pt idx="27">
                  <c:v>6.2452499999981894</c:v>
                </c:pt>
                <c:pt idx="28">
                  <c:v>6.2452499999981894</c:v>
                </c:pt>
                <c:pt idx="29">
                  <c:v>4.4965800000963396</c:v>
                </c:pt>
                <c:pt idx="30">
                  <c:v>4.4965799998691391</c:v>
                </c:pt>
                <c:pt idx="31">
                  <c:v>5.4958199998455104</c:v>
                </c:pt>
                <c:pt idx="32">
                  <c:v>5.4958200000727109</c:v>
                </c:pt>
                <c:pt idx="33">
                  <c:v>5.4958200000727109</c:v>
                </c:pt>
                <c:pt idx="34">
                  <c:v>6.2452499999981894</c:v>
                </c:pt>
                <c:pt idx="35">
                  <c:v>4.4965799998691391</c:v>
                </c:pt>
                <c:pt idx="36">
                  <c:v>6.2452499999981894</c:v>
                </c:pt>
                <c:pt idx="37">
                  <c:v>5.4958200000727109</c:v>
                </c:pt>
                <c:pt idx="38">
                  <c:v>5.4958200000727109</c:v>
                </c:pt>
                <c:pt idx="39">
                  <c:v>6.2452499999981894</c:v>
                </c:pt>
                <c:pt idx="40">
                  <c:v>6.2452499999981894</c:v>
                </c:pt>
                <c:pt idx="41">
                  <c:v>4.4965800000963396</c:v>
                </c:pt>
                <c:pt idx="42">
                  <c:v>6.2452499999981894</c:v>
                </c:pt>
                <c:pt idx="43">
                  <c:v>5.4958200000727109</c:v>
                </c:pt>
                <c:pt idx="44">
                  <c:v>6.2452499999981894</c:v>
                </c:pt>
                <c:pt idx="45">
                  <c:v>6.2452499999981894</c:v>
                </c:pt>
                <c:pt idx="46">
                  <c:v>8.4935400000018237</c:v>
                </c:pt>
                <c:pt idx="47">
                  <c:v>4.4965799998691391</c:v>
                </c:pt>
                <c:pt idx="48">
                  <c:v>6.2452499999981894</c:v>
                </c:pt>
                <c:pt idx="49">
                  <c:v>5.4958200000727109</c:v>
                </c:pt>
                <c:pt idx="50">
                  <c:v>6.2452499999981894</c:v>
                </c:pt>
                <c:pt idx="51">
                  <c:v>6.2452499999981894</c:v>
                </c:pt>
                <c:pt idx="52">
                  <c:v>6.2452499999981894</c:v>
                </c:pt>
                <c:pt idx="53">
                  <c:v>4.4965800000963396</c:v>
                </c:pt>
                <c:pt idx="54">
                  <c:v>6.2452499999981894</c:v>
                </c:pt>
                <c:pt idx="55">
                  <c:v>6.2452499999981894</c:v>
                </c:pt>
                <c:pt idx="56">
                  <c:v>6.2452499999981894</c:v>
                </c:pt>
                <c:pt idx="57">
                  <c:v>6.2452499999981894</c:v>
                </c:pt>
                <c:pt idx="58">
                  <c:v>4.4965800000963396</c:v>
                </c:pt>
                <c:pt idx="59">
                  <c:v>10.991640000056352</c:v>
                </c:pt>
                <c:pt idx="60">
                  <c:v>6.2452499999981894</c:v>
                </c:pt>
                <c:pt idx="61">
                  <c:v>6.2452499999981894</c:v>
                </c:pt>
                <c:pt idx="62">
                  <c:v>6.2452499999981894</c:v>
                </c:pt>
                <c:pt idx="63">
                  <c:v>6.2452499999981894</c:v>
                </c:pt>
                <c:pt idx="64">
                  <c:v>10.991640000056352</c:v>
                </c:pt>
                <c:pt idx="65">
                  <c:v>4.4965800000963396</c:v>
                </c:pt>
                <c:pt idx="66">
                  <c:v>6.2452499999981894</c:v>
                </c:pt>
                <c:pt idx="67">
                  <c:v>4.4965799998691391</c:v>
                </c:pt>
                <c:pt idx="68">
                  <c:v>6.2452499999981894</c:v>
                </c:pt>
                <c:pt idx="69">
                  <c:v>5.4958200000727109</c:v>
                </c:pt>
                <c:pt idx="70">
                  <c:v>6.2452499999981894</c:v>
                </c:pt>
                <c:pt idx="71">
                  <c:v>5.4958199998455104</c:v>
                </c:pt>
                <c:pt idx="72">
                  <c:v>6.2452499999981894</c:v>
                </c:pt>
                <c:pt idx="73">
                  <c:v>4.4965800000963396</c:v>
                </c:pt>
                <c:pt idx="74">
                  <c:v>6.2452499999981894</c:v>
                </c:pt>
                <c:pt idx="75">
                  <c:v>6.2452499999981894</c:v>
                </c:pt>
                <c:pt idx="76">
                  <c:v>6.2452499999981894</c:v>
                </c:pt>
                <c:pt idx="77">
                  <c:v>4.4965800000963396</c:v>
                </c:pt>
                <c:pt idx="78">
                  <c:v>4.4965800000963396</c:v>
                </c:pt>
                <c:pt idx="79">
                  <c:v>4.4965800000963396</c:v>
                </c:pt>
                <c:pt idx="80">
                  <c:v>6.2452499999981894</c:v>
                </c:pt>
                <c:pt idx="81">
                  <c:v>6.2452499999981894</c:v>
                </c:pt>
                <c:pt idx="82">
                  <c:v>6.2452499999981894</c:v>
                </c:pt>
                <c:pt idx="83">
                  <c:v>5.4958199998455104</c:v>
                </c:pt>
                <c:pt idx="84">
                  <c:v>4.4965799998691391</c:v>
                </c:pt>
                <c:pt idx="85">
                  <c:v>4.4965800000963396</c:v>
                </c:pt>
                <c:pt idx="86">
                  <c:v>6.2452499999981894</c:v>
                </c:pt>
                <c:pt idx="87">
                  <c:v>6.2452499999981894</c:v>
                </c:pt>
                <c:pt idx="88">
                  <c:v>6.2452499999981894</c:v>
                </c:pt>
                <c:pt idx="89">
                  <c:v>4.4965800000963396</c:v>
                </c:pt>
                <c:pt idx="90">
                  <c:v>6.2452499999981894</c:v>
                </c:pt>
                <c:pt idx="91">
                  <c:v>4.4965799998691391</c:v>
                </c:pt>
                <c:pt idx="92">
                  <c:v>6.2452499999981894</c:v>
                </c:pt>
                <c:pt idx="93">
                  <c:v>6.2452499999981894</c:v>
                </c:pt>
                <c:pt idx="94">
                  <c:v>6.2452499999981894</c:v>
                </c:pt>
                <c:pt idx="95">
                  <c:v>4.4965799998691391</c:v>
                </c:pt>
                <c:pt idx="96">
                  <c:v>4.4965799998691391</c:v>
                </c:pt>
                <c:pt idx="97">
                  <c:v>4.4965800000963396</c:v>
                </c:pt>
                <c:pt idx="98">
                  <c:v>6.2452499999981894</c:v>
                </c:pt>
                <c:pt idx="99">
                  <c:v>6.2452499999981894</c:v>
                </c:pt>
                <c:pt idx="100">
                  <c:v>6.2452499999981894</c:v>
                </c:pt>
                <c:pt idx="101">
                  <c:v>4.4965799998691391</c:v>
                </c:pt>
                <c:pt idx="102">
                  <c:v>5.4958199998455104</c:v>
                </c:pt>
                <c:pt idx="103">
                  <c:v>4.4965800000963396</c:v>
                </c:pt>
                <c:pt idx="104">
                  <c:v>6.2452499999981894</c:v>
                </c:pt>
                <c:pt idx="105">
                  <c:v>4.9962000001981259</c:v>
                </c:pt>
                <c:pt idx="106">
                  <c:v>4.4965799998691391</c:v>
                </c:pt>
                <c:pt idx="107">
                  <c:v>4.4965799998691391</c:v>
                </c:pt>
                <c:pt idx="108">
                  <c:v>4.4965799998691391</c:v>
                </c:pt>
                <c:pt idx="109">
                  <c:v>4.4965799998691391</c:v>
                </c:pt>
                <c:pt idx="110">
                  <c:v>6.2452499999981894</c:v>
                </c:pt>
                <c:pt idx="111">
                  <c:v>6.2452499999981894</c:v>
                </c:pt>
                <c:pt idx="112">
                  <c:v>4.4965800000963396</c:v>
                </c:pt>
                <c:pt idx="113">
                  <c:v>4.4965799998691391</c:v>
                </c:pt>
                <c:pt idx="114">
                  <c:v>10.991640000056352</c:v>
                </c:pt>
                <c:pt idx="115">
                  <c:v>6.2452500002253899</c:v>
                </c:pt>
                <c:pt idx="116">
                  <c:v>4.4965800000963396</c:v>
                </c:pt>
                <c:pt idx="117">
                  <c:v>6.2452499999981894</c:v>
                </c:pt>
                <c:pt idx="118">
                  <c:v>4.4965799998691391</c:v>
                </c:pt>
                <c:pt idx="119">
                  <c:v>4.4965800000963396</c:v>
                </c:pt>
                <c:pt idx="120">
                  <c:v>4.4965799998691391</c:v>
                </c:pt>
                <c:pt idx="121">
                  <c:v>6.2452499999981894</c:v>
                </c:pt>
                <c:pt idx="122">
                  <c:v>6.2452499999981894</c:v>
                </c:pt>
                <c:pt idx="123">
                  <c:v>4.4965800000963396</c:v>
                </c:pt>
                <c:pt idx="124">
                  <c:v>4.4965800000963396</c:v>
                </c:pt>
                <c:pt idx="125">
                  <c:v>4.4965800000963396</c:v>
                </c:pt>
                <c:pt idx="126">
                  <c:v>6.2452499999981894</c:v>
                </c:pt>
                <c:pt idx="127">
                  <c:v>4.4965799998691391</c:v>
                </c:pt>
                <c:pt idx="128">
                  <c:v>6.2452499999981894</c:v>
                </c:pt>
                <c:pt idx="129">
                  <c:v>6.2452499999981894</c:v>
                </c:pt>
                <c:pt idx="130">
                  <c:v>4.4965799998691391</c:v>
                </c:pt>
                <c:pt idx="131">
                  <c:v>4.4965800000963396</c:v>
                </c:pt>
                <c:pt idx="132">
                  <c:v>5.4958200000727109</c:v>
                </c:pt>
                <c:pt idx="133">
                  <c:v>4.4965800000963396</c:v>
                </c:pt>
                <c:pt idx="134">
                  <c:v>6.2452499999981894</c:v>
                </c:pt>
                <c:pt idx="135">
                  <c:v>4.4965800000963396</c:v>
                </c:pt>
                <c:pt idx="136">
                  <c:v>4.4965800000963396</c:v>
                </c:pt>
                <c:pt idx="137">
                  <c:v>6.2452499999981894</c:v>
                </c:pt>
                <c:pt idx="138">
                  <c:v>6.2452499999981894</c:v>
                </c:pt>
                <c:pt idx="139">
                  <c:v>4.4965799998691391</c:v>
                </c:pt>
                <c:pt idx="140">
                  <c:v>6.2452499999981894</c:v>
                </c:pt>
                <c:pt idx="141">
                  <c:v>3.7471500001708615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4-49E7-A51D-844ABBCFB78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stafford_qds1!$I$2:$I$143</c:f>
              <c:numCache>
                <c:formatCode>General</c:formatCode>
                <c:ptCount val="142"/>
                <c:pt idx="0">
                  <c:v>14.89</c:v>
                </c:pt>
                <c:pt idx="1">
                  <c:v>11.29</c:v>
                </c:pt>
                <c:pt idx="2">
                  <c:v>8.85</c:v>
                </c:pt>
                <c:pt idx="3">
                  <c:v>9.48</c:v>
                </c:pt>
                <c:pt idx="4">
                  <c:v>9.4</c:v>
                </c:pt>
                <c:pt idx="5">
                  <c:v>11.04</c:v>
                </c:pt>
                <c:pt idx="6">
                  <c:v>10.36</c:v>
                </c:pt>
                <c:pt idx="7">
                  <c:v>10.79</c:v>
                </c:pt>
                <c:pt idx="8">
                  <c:v>10.5</c:v>
                </c:pt>
                <c:pt idx="9">
                  <c:v>11.56</c:v>
                </c:pt>
                <c:pt idx="10">
                  <c:v>10.83</c:v>
                </c:pt>
                <c:pt idx="11">
                  <c:v>10.19</c:v>
                </c:pt>
                <c:pt idx="12">
                  <c:v>10.54</c:v>
                </c:pt>
                <c:pt idx="13">
                  <c:v>11.64</c:v>
                </c:pt>
                <c:pt idx="14">
                  <c:v>8.0399999999999991</c:v>
                </c:pt>
                <c:pt idx="15">
                  <c:v>9.0500000000000007</c:v>
                </c:pt>
                <c:pt idx="16">
                  <c:v>10.15</c:v>
                </c:pt>
                <c:pt idx="17">
                  <c:v>9.23</c:v>
                </c:pt>
                <c:pt idx="18">
                  <c:v>11.51</c:v>
                </c:pt>
                <c:pt idx="19">
                  <c:v>10.119999999999999</c:v>
                </c:pt>
                <c:pt idx="20">
                  <c:v>9.0500000000000007</c:v>
                </c:pt>
                <c:pt idx="21">
                  <c:v>10.41</c:v>
                </c:pt>
                <c:pt idx="22">
                  <c:v>10.199999999999999</c:v>
                </c:pt>
                <c:pt idx="23">
                  <c:v>9.61</c:v>
                </c:pt>
                <c:pt idx="24">
                  <c:v>8.25</c:v>
                </c:pt>
                <c:pt idx="25">
                  <c:v>9.73</c:v>
                </c:pt>
                <c:pt idx="26">
                  <c:v>9.43</c:v>
                </c:pt>
                <c:pt idx="27">
                  <c:v>9.27</c:v>
                </c:pt>
                <c:pt idx="28">
                  <c:v>10.199999999999999</c:v>
                </c:pt>
                <c:pt idx="29">
                  <c:v>9.86</c:v>
                </c:pt>
                <c:pt idx="30">
                  <c:v>7.57</c:v>
                </c:pt>
                <c:pt idx="31">
                  <c:v>6.81</c:v>
                </c:pt>
                <c:pt idx="32">
                  <c:v>9.61</c:v>
                </c:pt>
                <c:pt idx="33">
                  <c:v>9.9</c:v>
                </c:pt>
                <c:pt idx="34">
                  <c:v>10.119999999999999</c:v>
                </c:pt>
                <c:pt idx="35">
                  <c:v>8.9700000000000006</c:v>
                </c:pt>
                <c:pt idx="36">
                  <c:v>8.8800000000000008</c:v>
                </c:pt>
                <c:pt idx="37">
                  <c:v>10.29</c:v>
                </c:pt>
                <c:pt idx="38">
                  <c:v>9.9</c:v>
                </c:pt>
                <c:pt idx="39">
                  <c:v>10.07</c:v>
                </c:pt>
                <c:pt idx="40">
                  <c:v>11.04</c:v>
                </c:pt>
                <c:pt idx="41">
                  <c:v>9.64</c:v>
                </c:pt>
                <c:pt idx="42">
                  <c:v>9.7799999999999994</c:v>
                </c:pt>
                <c:pt idx="43">
                  <c:v>9.9</c:v>
                </c:pt>
                <c:pt idx="44">
                  <c:v>10.67</c:v>
                </c:pt>
                <c:pt idx="45">
                  <c:v>9.43</c:v>
                </c:pt>
                <c:pt idx="46">
                  <c:v>10.15</c:v>
                </c:pt>
                <c:pt idx="47">
                  <c:v>13.63</c:v>
                </c:pt>
                <c:pt idx="48">
                  <c:v>8.76</c:v>
                </c:pt>
                <c:pt idx="49">
                  <c:v>9.61</c:v>
                </c:pt>
                <c:pt idx="50">
                  <c:v>11.55</c:v>
                </c:pt>
                <c:pt idx="51">
                  <c:v>11.93</c:v>
                </c:pt>
                <c:pt idx="52">
                  <c:v>15.79</c:v>
                </c:pt>
                <c:pt idx="53">
                  <c:v>9.74</c:v>
                </c:pt>
                <c:pt idx="54">
                  <c:v>8.08</c:v>
                </c:pt>
                <c:pt idx="55">
                  <c:v>10.32</c:v>
                </c:pt>
                <c:pt idx="56">
                  <c:v>9.69</c:v>
                </c:pt>
                <c:pt idx="57">
                  <c:v>11.56</c:v>
                </c:pt>
                <c:pt idx="58">
                  <c:v>11.13</c:v>
                </c:pt>
                <c:pt idx="59">
                  <c:v>10.92</c:v>
                </c:pt>
                <c:pt idx="60">
                  <c:v>15.57</c:v>
                </c:pt>
                <c:pt idx="61">
                  <c:v>11.25</c:v>
                </c:pt>
                <c:pt idx="62">
                  <c:v>9.69</c:v>
                </c:pt>
                <c:pt idx="63">
                  <c:v>10.16</c:v>
                </c:pt>
                <c:pt idx="64">
                  <c:v>10.199999999999999</c:v>
                </c:pt>
                <c:pt idx="65">
                  <c:v>15.95</c:v>
                </c:pt>
                <c:pt idx="66">
                  <c:v>7.02</c:v>
                </c:pt>
                <c:pt idx="67">
                  <c:v>11.56</c:v>
                </c:pt>
                <c:pt idx="68">
                  <c:v>8.8000000000000007</c:v>
                </c:pt>
                <c:pt idx="69">
                  <c:v>10.75</c:v>
                </c:pt>
                <c:pt idx="70">
                  <c:v>9.9</c:v>
                </c:pt>
                <c:pt idx="71">
                  <c:v>9.9</c:v>
                </c:pt>
                <c:pt idx="72">
                  <c:v>10.84</c:v>
                </c:pt>
                <c:pt idx="73">
                  <c:v>11.43</c:v>
                </c:pt>
                <c:pt idx="74">
                  <c:v>11.01</c:v>
                </c:pt>
                <c:pt idx="75">
                  <c:v>11.59</c:v>
                </c:pt>
                <c:pt idx="76">
                  <c:v>10.07</c:v>
                </c:pt>
                <c:pt idx="77">
                  <c:v>10.96</c:v>
                </c:pt>
                <c:pt idx="78">
                  <c:v>8.89</c:v>
                </c:pt>
                <c:pt idx="79">
                  <c:v>7.45</c:v>
                </c:pt>
                <c:pt idx="80">
                  <c:v>7.06</c:v>
                </c:pt>
                <c:pt idx="81">
                  <c:v>11.25</c:v>
                </c:pt>
                <c:pt idx="82">
                  <c:v>11.05</c:v>
                </c:pt>
                <c:pt idx="83">
                  <c:v>11.43</c:v>
                </c:pt>
                <c:pt idx="84">
                  <c:v>11.17</c:v>
                </c:pt>
                <c:pt idx="85">
                  <c:v>8.89</c:v>
                </c:pt>
                <c:pt idx="86">
                  <c:v>7.24</c:v>
                </c:pt>
                <c:pt idx="87">
                  <c:v>10.66</c:v>
                </c:pt>
                <c:pt idx="88">
                  <c:v>9.98</c:v>
                </c:pt>
                <c:pt idx="89">
                  <c:v>16.04</c:v>
                </c:pt>
                <c:pt idx="90">
                  <c:v>11.05</c:v>
                </c:pt>
                <c:pt idx="91">
                  <c:v>11.85</c:v>
                </c:pt>
                <c:pt idx="92">
                  <c:v>6.51</c:v>
                </c:pt>
                <c:pt idx="93">
                  <c:v>10.28</c:v>
                </c:pt>
                <c:pt idx="94">
                  <c:v>11.81</c:v>
                </c:pt>
                <c:pt idx="95">
                  <c:v>9.7799999999999994</c:v>
                </c:pt>
                <c:pt idx="96">
                  <c:v>10.45</c:v>
                </c:pt>
                <c:pt idx="97">
                  <c:v>8.0399999999999991</c:v>
                </c:pt>
                <c:pt idx="98">
                  <c:v>10.15</c:v>
                </c:pt>
                <c:pt idx="99">
                  <c:v>10.67</c:v>
                </c:pt>
                <c:pt idx="100">
                  <c:v>9.82</c:v>
                </c:pt>
                <c:pt idx="101">
                  <c:v>10.71</c:v>
                </c:pt>
                <c:pt idx="102">
                  <c:v>8.1999999999999993</c:v>
                </c:pt>
                <c:pt idx="103">
                  <c:v>10.87</c:v>
                </c:pt>
                <c:pt idx="104">
                  <c:v>9.61</c:v>
                </c:pt>
                <c:pt idx="105">
                  <c:v>10.71</c:v>
                </c:pt>
                <c:pt idx="106">
                  <c:v>9.7799999999999994</c:v>
                </c:pt>
                <c:pt idx="107">
                  <c:v>7.23</c:v>
                </c:pt>
                <c:pt idx="108">
                  <c:v>8.5</c:v>
                </c:pt>
                <c:pt idx="109">
                  <c:v>11.17</c:v>
                </c:pt>
                <c:pt idx="110">
                  <c:v>7.24</c:v>
                </c:pt>
                <c:pt idx="111">
                  <c:v>10.45</c:v>
                </c:pt>
                <c:pt idx="112">
                  <c:v>10.91</c:v>
                </c:pt>
                <c:pt idx="113">
                  <c:v>7.4</c:v>
                </c:pt>
                <c:pt idx="114">
                  <c:v>9.44</c:v>
                </c:pt>
                <c:pt idx="115">
                  <c:v>14.31</c:v>
                </c:pt>
                <c:pt idx="116">
                  <c:v>11.64</c:v>
                </c:pt>
                <c:pt idx="117">
                  <c:v>9.52</c:v>
                </c:pt>
                <c:pt idx="118">
                  <c:v>11.29</c:v>
                </c:pt>
                <c:pt idx="119">
                  <c:v>6.81</c:v>
                </c:pt>
                <c:pt idx="120">
                  <c:v>10.75</c:v>
                </c:pt>
                <c:pt idx="121">
                  <c:v>7.07</c:v>
                </c:pt>
                <c:pt idx="122">
                  <c:v>10.87</c:v>
                </c:pt>
                <c:pt idx="123">
                  <c:v>9.81</c:v>
                </c:pt>
                <c:pt idx="124">
                  <c:v>7.96</c:v>
                </c:pt>
                <c:pt idx="125">
                  <c:v>10.07</c:v>
                </c:pt>
                <c:pt idx="126">
                  <c:v>8.4700000000000006</c:v>
                </c:pt>
                <c:pt idx="127">
                  <c:v>11.13</c:v>
                </c:pt>
                <c:pt idx="128">
                  <c:v>7.61</c:v>
                </c:pt>
                <c:pt idx="129">
                  <c:v>10.67</c:v>
                </c:pt>
                <c:pt idx="130">
                  <c:v>9.9499999999999993</c:v>
                </c:pt>
                <c:pt idx="131">
                  <c:v>8.4700000000000006</c:v>
                </c:pt>
                <c:pt idx="132">
                  <c:v>7.44</c:v>
                </c:pt>
                <c:pt idx="133">
                  <c:v>10.28</c:v>
                </c:pt>
                <c:pt idx="134">
                  <c:v>7.41</c:v>
                </c:pt>
                <c:pt idx="135">
                  <c:v>11.09</c:v>
                </c:pt>
                <c:pt idx="136">
                  <c:v>7.49</c:v>
                </c:pt>
                <c:pt idx="137">
                  <c:v>9.94</c:v>
                </c:pt>
                <c:pt idx="138">
                  <c:v>9.94</c:v>
                </c:pt>
                <c:pt idx="139">
                  <c:v>9.86</c:v>
                </c:pt>
                <c:pt idx="140">
                  <c:v>8.3000000000000007</c:v>
                </c:pt>
                <c:pt idx="141">
                  <c:v>11.34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74-49E7-A51D-844ABBCFB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847672"/>
        <c:axId val="821849312"/>
      </c:lineChart>
      <c:catAx>
        <c:axId val="821847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849312"/>
        <c:crosses val="autoZero"/>
        <c:auto val="1"/>
        <c:lblAlgn val="ctr"/>
        <c:lblOffset val="100"/>
        <c:noMultiLvlLbl val="0"/>
      </c:catAx>
      <c:valAx>
        <c:axId val="82184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84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Staf T5 to T3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'Lawrence vs Stafford'!$J$3:$J$357</c:f>
              <c:numCache>
                <c:formatCode>General</c:formatCode>
                <c:ptCount val="355"/>
                <c:pt idx="0">
                  <c:v>125.655</c:v>
                </c:pt>
                <c:pt idx="1">
                  <c:v>125.90631000005121</c:v>
                </c:pt>
                <c:pt idx="2">
                  <c:v>128.168100000512</c:v>
                </c:pt>
                <c:pt idx="3">
                  <c:v>128.41940999964893</c:v>
                </c:pt>
                <c:pt idx="4">
                  <c:v>125.655</c:v>
                </c:pt>
                <c:pt idx="5">
                  <c:v>123.39320999953921</c:v>
                </c:pt>
                <c:pt idx="6">
                  <c:v>125.90631000005121</c:v>
                </c:pt>
                <c:pt idx="7">
                  <c:v>125.4036899999488</c:v>
                </c:pt>
                <c:pt idx="8">
                  <c:v>125.655</c:v>
                </c:pt>
                <c:pt idx="9">
                  <c:v>122.89058999943681</c:v>
                </c:pt>
                <c:pt idx="10">
                  <c:v>125.655</c:v>
                </c:pt>
                <c:pt idx="11">
                  <c:v>125.655</c:v>
                </c:pt>
                <c:pt idx="12">
                  <c:v>127.91678999954652</c:v>
                </c:pt>
                <c:pt idx="13">
                  <c:v>128.16809999959773</c:v>
                </c:pt>
                <c:pt idx="14">
                  <c:v>128.168100000512</c:v>
                </c:pt>
                <c:pt idx="15">
                  <c:v>124.90107000076067</c:v>
                </c:pt>
                <c:pt idx="16">
                  <c:v>127.91678999954652</c:v>
                </c:pt>
                <c:pt idx="17">
                  <c:v>125.90631000005121</c:v>
                </c:pt>
                <c:pt idx="18">
                  <c:v>125.1523799998976</c:v>
                </c:pt>
                <c:pt idx="19">
                  <c:v>127.66548000040959</c:v>
                </c:pt>
                <c:pt idx="20">
                  <c:v>118.11570000029256</c:v>
                </c:pt>
                <c:pt idx="21">
                  <c:v>120.62879999989029</c:v>
                </c:pt>
                <c:pt idx="22">
                  <c:v>124.9010699998464</c:v>
                </c:pt>
                <c:pt idx="23">
                  <c:v>125.4036899999488</c:v>
                </c:pt>
                <c:pt idx="24">
                  <c:v>125.4036899999488</c:v>
                </c:pt>
                <c:pt idx="25">
                  <c:v>125.655</c:v>
                </c:pt>
                <c:pt idx="26">
                  <c:v>125.4036899999488</c:v>
                </c:pt>
                <c:pt idx="27">
                  <c:v>127.91678999954652</c:v>
                </c:pt>
                <c:pt idx="28">
                  <c:v>122.89058999943681</c:v>
                </c:pt>
                <c:pt idx="29">
                  <c:v>123.64451999959041</c:v>
                </c:pt>
                <c:pt idx="30">
                  <c:v>128.41940999964893</c:v>
                </c:pt>
                <c:pt idx="31">
                  <c:v>125.4036899999488</c:v>
                </c:pt>
                <c:pt idx="32">
                  <c:v>125.4036899999488</c:v>
                </c:pt>
                <c:pt idx="33">
                  <c:v>125.4036899999488</c:v>
                </c:pt>
                <c:pt idx="34">
                  <c:v>128.168100000512</c:v>
                </c:pt>
                <c:pt idx="35">
                  <c:v>127.91678999954652</c:v>
                </c:pt>
                <c:pt idx="36">
                  <c:v>125.4036899999488</c:v>
                </c:pt>
                <c:pt idx="37">
                  <c:v>125.1523799998976</c:v>
                </c:pt>
                <c:pt idx="38">
                  <c:v>125.1523799998976</c:v>
                </c:pt>
                <c:pt idx="39">
                  <c:v>122.89059000035108</c:v>
                </c:pt>
                <c:pt idx="40">
                  <c:v>123.14190000040227</c:v>
                </c:pt>
                <c:pt idx="41">
                  <c:v>125.655</c:v>
                </c:pt>
                <c:pt idx="42">
                  <c:v>125.4036899999488</c:v>
                </c:pt>
                <c:pt idx="43">
                  <c:v>120.37748999983909</c:v>
                </c:pt>
                <c:pt idx="44">
                  <c:v>122.89059000035108</c:v>
                </c:pt>
                <c:pt idx="45">
                  <c:v>125.90630999913694</c:v>
                </c:pt>
                <c:pt idx="46">
                  <c:v>125.90631000005121</c:v>
                </c:pt>
                <c:pt idx="47">
                  <c:v>127.91679000046079</c:v>
                </c:pt>
                <c:pt idx="48">
                  <c:v>132.69168000051931</c:v>
                </c:pt>
                <c:pt idx="49">
                  <c:v>127.91678999954652</c:v>
                </c:pt>
                <c:pt idx="50">
                  <c:v>125.1523799998976</c:v>
                </c:pt>
                <c:pt idx="51">
                  <c:v>125.655</c:v>
                </c:pt>
                <c:pt idx="52">
                  <c:v>125.90631000005121</c:v>
                </c:pt>
                <c:pt idx="53">
                  <c:v>125.1523799998976</c:v>
                </c:pt>
                <c:pt idx="54">
                  <c:v>125.655</c:v>
                </c:pt>
                <c:pt idx="55">
                  <c:v>125.4036899999488</c:v>
                </c:pt>
                <c:pt idx="56">
                  <c:v>122.89059000035108</c:v>
                </c:pt>
                <c:pt idx="57">
                  <c:v>122.63928000029988</c:v>
                </c:pt>
                <c:pt idx="58">
                  <c:v>125.1523799998976</c:v>
                </c:pt>
                <c:pt idx="59">
                  <c:v>125.4036899999488</c:v>
                </c:pt>
                <c:pt idx="60">
                  <c:v>125.4036899999488</c:v>
                </c:pt>
                <c:pt idx="61">
                  <c:v>123.14189999948802</c:v>
                </c:pt>
                <c:pt idx="62">
                  <c:v>125.40369000086307</c:v>
                </c:pt>
                <c:pt idx="63">
                  <c:v>125.4036899999488</c:v>
                </c:pt>
                <c:pt idx="64">
                  <c:v>122.63927999938562</c:v>
                </c:pt>
                <c:pt idx="65">
                  <c:v>125.4036899999488</c:v>
                </c:pt>
                <c:pt idx="66">
                  <c:v>125.4036899999488</c:v>
                </c:pt>
                <c:pt idx="67">
                  <c:v>125.1523799998976</c:v>
                </c:pt>
                <c:pt idx="68">
                  <c:v>125.655</c:v>
                </c:pt>
                <c:pt idx="69">
                  <c:v>127.91678999954652</c:v>
                </c:pt>
                <c:pt idx="70">
                  <c:v>128.168100000512</c:v>
                </c:pt>
                <c:pt idx="71">
                  <c:v>128.168100000512</c:v>
                </c:pt>
                <c:pt idx="72">
                  <c:v>127.91678999954652</c:v>
                </c:pt>
                <c:pt idx="73">
                  <c:v>130.17858000000732</c:v>
                </c:pt>
                <c:pt idx="74">
                  <c:v>125.1523799998976</c:v>
                </c:pt>
                <c:pt idx="75">
                  <c:v>125.4036899999488</c:v>
                </c:pt>
                <c:pt idx="76">
                  <c:v>125.655</c:v>
                </c:pt>
                <c:pt idx="77">
                  <c:v>127.91679000046079</c:v>
                </c:pt>
                <c:pt idx="78">
                  <c:v>122.63928000029988</c:v>
                </c:pt>
                <c:pt idx="79">
                  <c:v>120.62879999989029</c:v>
                </c:pt>
                <c:pt idx="80">
                  <c:v>122.89059000035108</c:v>
                </c:pt>
                <c:pt idx="81">
                  <c:v>127.91679000046079</c:v>
                </c:pt>
                <c:pt idx="82">
                  <c:v>128.168100000512</c:v>
                </c:pt>
                <c:pt idx="83">
                  <c:v>125.4036899999488</c:v>
                </c:pt>
                <c:pt idx="84">
                  <c:v>127.91679000046079</c:v>
                </c:pt>
                <c:pt idx="85">
                  <c:v>127.91678999954652</c:v>
                </c:pt>
                <c:pt idx="86">
                  <c:v>122.63928000029988</c:v>
                </c:pt>
                <c:pt idx="87">
                  <c:v>125.1523799998976</c:v>
                </c:pt>
                <c:pt idx="88">
                  <c:v>125.1523799998976</c:v>
                </c:pt>
                <c:pt idx="89">
                  <c:v>130.42989000005852</c:v>
                </c:pt>
                <c:pt idx="90">
                  <c:v>120.12617999978789</c:v>
                </c:pt>
                <c:pt idx="91">
                  <c:v>125.655</c:v>
                </c:pt>
                <c:pt idx="92">
                  <c:v>125.4036899999488</c:v>
                </c:pt>
                <c:pt idx="93">
                  <c:v>125.4036899999488</c:v>
                </c:pt>
                <c:pt idx="94">
                  <c:v>125.655</c:v>
                </c:pt>
                <c:pt idx="95">
                  <c:v>125.655</c:v>
                </c:pt>
                <c:pt idx="96">
                  <c:v>125.655</c:v>
                </c:pt>
                <c:pt idx="97">
                  <c:v>127.66547999949533</c:v>
                </c:pt>
                <c:pt idx="98">
                  <c:v>123.14189999948802</c:v>
                </c:pt>
                <c:pt idx="99">
                  <c:v>127.91678999954652</c:v>
                </c:pt>
                <c:pt idx="100">
                  <c:v>125.1523799998976</c:v>
                </c:pt>
                <c:pt idx="101">
                  <c:v>125.655</c:v>
                </c:pt>
                <c:pt idx="102">
                  <c:v>125.655</c:v>
                </c:pt>
                <c:pt idx="103">
                  <c:v>127.66547999949533</c:v>
                </c:pt>
                <c:pt idx="104">
                  <c:v>125.4036899999488</c:v>
                </c:pt>
                <c:pt idx="105">
                  <c:v>128.16809999959773</c:v>
                </c:pt>
                <c:pt idx="106">
                  <c:v>128.67071999970011</c:v>
                </c:pt>
                <c:pt idx="107">
                  <c:v>123.14190000040227</c:v>
                </c:pt>
                <c:pt idx="108">
                  <c:v>125.655</c:v>
                </c:pt>
                <c:pt idx="109">
                  <c:v>123.39320999953921</c:v>
                </c:pt>
                <c:pt idx="110">
                  <c:v>127.91678999954652</c:v>
                </c:pt>
                <c:pt idx="111">
                  <c:v>128.16809999959773</c:v>
                </c:pt>
                <c:pt idx="112">
                  <c:v>120.62879999989029</c:v>
                </c:pt>
                <c:pt idx="113">
                  <c:v>123.39321000045348</c:v>
                </c:pt>
                <c:pt idx="114">
                  <c:v>120.37748999983909</c:v>
                </c:pt>
                <c:pt idx="115">
                  <c:v>121.13141999999269</c:v>
                </c:pt>
                <c:pt idx="116">
                  <c:v>121.38273000004389</c:v>
                </c:pt>
                <c:pt idx="117">
                  <c:v>118.11570000029256</c:v>
                </c:pt>
                <c:pt idx="118">
                  <c:v>121.13141999999269</c:v>
                </c:pt>
                <c:pt idx="119">
                  <c:v>120.62879999989029</c:v>
                </c:pt>
                <c:pt idx="120">
                  <c:v>126.1576200001024</c:v>
                </c:pt>
                <c:pt idx="121">
                  <c:v>123.89582999964161</c:v>
                </c:pt>
                <c:pt idx="122">
                  <c:v>123.64451999959041</c:v>
                </c:pt>
                <c:pt idx="123">
                  <c:v>125.90631000005121</c:v>
                </c:pt>
                <c:pt idx="124">
                  <c:v>125.4036899999488</c:v>
                </c:pt>
                <c:pt idx="125">
                  <c:v>126.1576200001024</c:v>
                </c:pt>
                <c:pt idx="126">
                  <c:v>130.68120000010973</c:v>
                </c:pt>
                <c:pt idx="127">
                  <c:v>127.91679000046079</c:v>
                </c:pt>
                <c:pt idx="128">
                  <c:v>120.88010999994148</c:v>
                </c:pt>
                <c:pt idx="129">
                  <c:v>118.3670099994295</c:v>
                </c:pt>
                <c:pt idx="130">
                  <c:v>123.89582999964161</c:v>
                </c:pt>
                <c:pt idx="131">
                  <c:v>125.1523799998976</c:v>
                </c:pt>
                <c:pt idx="132">
                  <c:v>125.655</c:v>
                </c:pt>
                <c:pt idx="133">
                  <c:v>125.4036899999488</c:v>
                </c:pt>
                <c:pt idx="134">
                  <c:v>128.41940999964893</c:v>
                </c:pt>
                <c:pt idx="135">
                  <c:v>125.90631000005121</c:v>
                </c:pt>
                <c:pt idx="136">
                  <c:v>122.89059000035108</c:v>
                </c:pt>
                <c:pt idx="137">
                  <c:v>120.62879999989029</c:v>
                </c:pt>
                <c:pt idx="138">
                  <c:v>125.90631000005121</c:v>
                </c:pt>
                <c:pt idx="139">
                  <c:v>126.1576200001024</c:v>
                </c:pt>
                <c:pt idx="140">
                  <c:v>128.41940999964893</c:v>
                </c:pt>
                <c:pt idx="141">
                  <c:v>123.39320999953921</c:v>
                </c:pt>
                <c:pt idx="142">
                  <c:v>123.64452000050467</c:v>
                </c:pt>
                <c:pt idx="143">
                  <c:v>126.15761999918814</c:v>
                </c:pt>
                <c:pt idx="144">
                  <c:v>125.90631000005121</c:v>
                </c:pt>
                <c:pt idx="145">
                  <c:v>128.41940999964893</c:v>
                </c:pt>
                <c:pt idx="146">
                  <c:v>128.168100000512</c:v>
                </c:pt>
                <c:pt idx="147">
                  <c:v>128.16809999959773</c:v>
                </c:pt>
                <c:pt idx="148">
                  <c:v>125.655</c:v>
                </c:pt>
                <c:pt idx="149">
                  <c:v>120.88010999994148</c:v>
                </c:pt>
                <c:pt idx="150">
                  <c:v>128.67072000061438</c:v>
                </c:pt>
                <c:pt idx="151">
                  <c:v>122.89058999943681</c:v>
                </c:pt>
                <c:pt idx="152">
                  <c:v>128.41941000056318</c:v>
                </c:pt>
                <c:pt idx="153">
                  <c:v>125.4036899999488</c:v>
                </c:pt>
                <c:pt idx="154">
                  <c:v>123.14189999948802</c:v>
                </c:pt>
                <c:pt idx="155">
                  <c:v>125.655</c:v>
                </c:pt>
                <c:pt idx="156">
                  <c:v>125.655</c:v>
                </c:pt>
                <c:pt idx="157">
                  <c:v>126.15761999918814</c:v>
                </c:pt>
                <c:pt idx="158">
                  <c:v>126.1576200001024</c:v>
                </c:pt>
                <c:pt idx="159">
                  <c:v>128.16809999959773</c:v>
                </c:pt>
                <c:pt idx="160">
                  <c:v>123.64451999959041</c:v>
                </c:pt>
                <c:pt idx="161">
                  <c:v>125.90631000005121</c:v>
                </c:pt>
                <c:pt idx="162">
                  <c:v>123.14190000040227</c:v>
                </c:pt>
                <c:pt idx="163">
                  <c:v>125.90631000005121</c:v>
                </c:pt>
                <c:pt idx="164">
                  <c:v>125.90631000005121</c:v>
                </c:pt>
                <c:pt idx="165">
                  <c:v>128.16809999868346</c:v>
                </c:pt>
                <c:pt idx="166">
                  <c:v>125.655</c:v>
                </c:pt>
                <c:pt idx="167">
                  <c:v>125.655</c:v>
                </c:pt>
                <c:pt idx="168">
                  <c:v>126.1576200001024</c:v>
                </c:pt>
                <c:pt idx="169">
                  <c:v>125.655</c:v>
                </c:pt>
                <c:pt idx="170">
                  <c:v>125.40368999903454</c:v>
                </c:pt>
                <c:pt idx="171">
                  <c:v>125.40368999903454</c:v>
                </c:pt>
                <c:pt idx="172">
                  <c:v>125.655</c:v>
                </c:pt>
                <c:pt idx="173">
                  <c:v>125.40368999903454</c:v>
                </c:pt>
                <c:pt idx="174">
                  <c:v>128.168100000512</c:v>
                </c:pt>
                <c:pt idx="175">
                  <c:v>128.67071999878587</c:v>
                </c:pt>
                <c:pt idx="176">
                  <c:v>125.655</c:v>
                </c:pt>
                <c:pt idx="177">
                  <c:v>125.655</c:v>
                </c:pt>
                <c:pt idx="178">
                  <c:v>125.40368999903454</c:v>
                </c:pt>
                <c:pt idx="179">
                  <c:v>125.40368999903454</c:v>
                </c:pt>
                <c:pt idx="180">
                  <c:v>125.90630999913694</c:v>
                </c:pt>
                <c:pt idx="181">
                  <c:v>125.90630999913694</c:v>
                </c:pt>
                <c:pt idx="182">
                  <c:v>122.63927999938562</c:v>
                </c:pt>
                <c:pt idx="183">
                  <c:v>128.41940999964893</c:v>
                </c:pt>
                <c:pt idx="184">
                  <c:v>125.1523799998976</c:v>
                </c:pt>
                <c:pt idx="185">
                  <c:v>120.88011000177001</c:v>
                </c:pt>
                <c:pt idx="186">
                  <c:v>125.40368999903454</c:v>
                </c:pt>
                <c:pt idx="187">
                  <c:v>125.90630999913694</c:v>
                </c:pt>
                <c:pt idx="188">
                  <c:v>125.655</c:v>
                </c:pt>
                <c:pt idx="189">
                  <c:v>125.655</c:v>
                </c:pt>
                <c:pt idx="190">
                  <c:v>125.40369000086307</c:v>
                </c:pt>
                <c:pt idx="191">
                  <c:v>125.90630999913694</c:v>
                </c:pt>
                <c:pt idx="192">
                  <c:v>125.655</c:v>
                </c:pt>
                <c:pt idx="193">
                  <c:v>125.90631000096546</c:v>
                </c:pt>
                <c:pt idx="194">
                  <c:v>125.655</c:v>
                </c:pt>
                <c:pt idx="195">
                  <c:v>125.90630999913694</c:v>
                </c:pt>
                <c:pt idx="196">
                  <c:v>125.655</c:v>
                </c:pt>
                <c:pt idx="197">
                  <c:v>125.655</c:v>
                </c:pt>
                <c:pt idx="198">
                  <c:v>125.655</c:v>
                </c:pt>
                <c:pt idx="199">
                  <c:v>125.655</c:v>
                </c:pt>
                <c:pt idx="200">
                  <c:v>125.655</c:v>
                </c:pt>
                <c:pt idx="201">
                  <c:v>127.91678999954652</c:v>
                </c:pt>
                <c:pt idx="202">
                  <c:v>127.91679000137505</c:v>
                </c:pt>
                <c:pt idx="203">
                  <c:v>125.655</c:v>
                </c:pt>
                <c:pt idx="204">
                  <c:v>125.655</c:v>
                </c:pt>
                <c:pt idx="205">
                  <c:v>125.655</c:v>
                </c:pt>
                <c:pt idx="206">
                  <c:v>127.91678999954652</c:v>
                </c:pt>
                <c:pt idx="207">
                  <c:v>128.67072000061438</c:v>
                </c:pt>
                <c:pt idx="208">
                  <c:v>123.64452000141894</c:v>
                </c:pt>
                <c:pt idx="209">
                  <c:v>123.14189999948802</c:v>
                </c:pt>
                <c:pt idx="210">
                  <c:v>120.62880000080455</c:v>
                </c:pt>
                <c:pt idx="211">
                  <c:v>125.90630999913694</c:v>
                </c:pt>
                <c:pt idx="212">
                  <c:v>127.91678999954652</c:v>
                </c:pt>
                <c:pt idx="213">
                  <c:v>125.655</c:v>
                </c:pt>
                <c:pt idx="214">
                  <c:v>122.89059000035108</c:v>
                </c:pt>
                <c:pt idx="215">
                  <c:v>121.13142000090694</c:v>
                </c:pt>
                <c:pt idx="216">
                  <c:v>123.14189999948802</c:v>
                </c:pt>
                <c:pt idx="217">
                  <c:v>123.39320999862495</c:v>
                </c:pt>
                <c:pt idx="218">
                  <c:v>120.12618000070215</c:v>
                </c:pt>
                <c:pt idx="219">
                  <c:v>122.89059000035108</c:v>
                </c:pt>
                <c:pt idx="220">
                  <c:v>125.90630999913694</c:v>
                </c:pt>
                <c:pt idx="221">
                  <c:v>122.63927999938562</c:v>
                </c:pt>
                <c:pt idx="222">
                  <c:v>125.90630999913694</c:v>
                </c:pt>
                <c:pt idx="223">
                  <c:v>125.90630999913694</c:v>
                </c:pt>
                <c:pt idx="224">
                  <c:v>126.15761999827387</c:v>
                </c:pt>
                <c:pt idx="225">
                  <c:v>120.62879999897604</c:v>
                </c:pt>
                <c:pt idx="226">
                  <c:v>120.62879999897604</c:v>
                </c:pt>
                <c:pt idx="227">
                  <c:v>120.88010999994148</c:v>
                </c:pt>
                <c:pt idx="228">
                  <c:v>128.41940999964893</c:v>
                </c:pt>
                <c:pt idx="229">
                  <c:v>118.61832000039496</c:v>
                </c:pt>
                <c:pt idx="230">
                  <c:v>123.64451999959041</c:v>
                </c:pt>
                <c:pt idx="231">
                  <c:v>123.14189999948802</c:v>
                </c:pt>
                <c:pt idx="232">
                  <c:v>123.14190000131654</c:v>
                </c:pt>
                <c:pt idx="233">
                  <c:v>120.62879999897604</c:v>
                </c:pt>
                <c:pt idx="234">
                  <c:v>120.88010999994148</c:v>
                </c:pt>
                <c:pt idx="235">
                  <c:v>120.62880000080455</c:v>
                </c:pt>
                <c:pt idx="236">
                  <c:v>125.40368999903454</c:v>
                </c:pt>
                <c:pt idx="237">
                  <c:v>120.62879999897604</c:v>
                </c:pt>
                <c:pt idx="238">
                  <c:v>123.14189999948802</c:v>
                </c:pt>
                <c:pt idx="239">
                  <c:v>125.655</c:v>
                </c:pt>
                <c:pt idx="240">
                  <c:v>123.89582999872735</c:v>
                </c:pt>
                <c:pt idx="241">
                  <c:v>120.62879999897604</c:v>
                </c:pt>
                <c:pt idx="242">
                  <c:v>121.13141999907843</c:v>
                </c:pt>
                <c:pt idx="243">
                  <c:v>121.13141999907843</c:v>
                </c:pt>
                <c:pt idx="244">
                  <c:v>125.655</c:v>
                </c:pt>
                <c:pt idx="245">
                  <c:v>123.64451999959041</c:v>
                </c:pt>
                <c:pt idx="246">
                  <c:v>123.39321000045348</c:v>
                </c:pt>
                <c:pt idx="247">
                  <c:v>126.1576200001024</c:v>
                </c:pt>
                <c:pt idx="248">
                  <c:v>125.90630999913694</c:v>
                </c:pt>
                <c:pt idx="249">
                  <c:v>121.13142000090694</c:v>
                </c:pt>
                <c:pt idx="250">
                  <c:v>115.60259999978058</c:v>
                </c:pt>
                <c:pt idx="251">
                  <c:v>125.655</c:v>
                </c:pt>
                <c:pt idx="252">
                  <c:v>127.44947999953875</c:v>
                </c:pt>
                <c:pt idx="253">
                  <c:v>125.40369000086307</c:v>
                </c:pt>
                <c:pt idx="254">
                  <c:v>125.40369000086307</c:v>
                </c:pt>
                <c:pt idx="255">
                  <c:v>125.90631000096546</c:v>
                </c:pt>
                <c:pt idx="256">
                  <c:v>125.655</c:v>
                </c:pt>
                <c:pt idx="257">
                  <c:v>125.655</c:v>
                </c:pt>
                <c:pt idx="258">
                  <c:v>125.90630999913694</c:v>
                </c:pt>
                <c:pt idx="259">
                  <c:v>120.88010999994148</c:v>
                </c:pt>
                <c:pt idx="260">
                  <c:v>125.40368999903454</c:v>
                </c:pt>
                <c:pt idx="261">
                  <c:v>120.88010999994148</c:v>
                </c:pt>
                <c:pt idx="262">
                  <c:v>125.40368999903454</c:v>
                </c:pt>
                <c:pt idx="263">
                  <c:v>121.38273000004389</c:v>
                </c:pt>
                <c:pt idx="264">
                  <c:v>123.39321000045348</c:v>
                </c:pt>
                <c:pt idx="265">
                  <c:v>125.90630999913694</c:v>
                </c:pt>
                <c:pt idx="266">
                  <c:v>118.36701000125802</c:v>
                </c:pt>
                <c:pt idx="267">
                  <c:v>120.62879999897604</c:v>
                </c:pt>
                <c:pt idx="268">
                  <c:v>120.62880000080455</c:v>
                </c:pt>
                <c:pt idx="269">
                  <c:v>120.12618000070215</c:v>
                </c:pt>
                <c:pt idx="270">
                  <c:v>126.1576200001024</c:v>
                </c:pt>
                <c:pt idx="271">
                  <c:v>120.88010999994148</c:v>
                </c:pt>
                <c:pt idx="272">
                  <c:v>123.89583000055588</c:v>
                </c:pt>
                <c:pt idx="273">
                  <c:v>126.1576200001024</c:v>
                </c:pt>
                <c:pt idx="274">
                  <c:v>125.1523799998976</c:v>
                </c:pt>
                <c:pt idx="275">
                  <c:v>120.37748999983909</c:v>
                </c:pt>
                <c:pt idx="276">
                  <c:v>120.88010999994148</c:v>
                </c:pt>
                <c:pt idx="277">
                  <c:v>120.62879999897604</c:v>
                </c:pt>
                <c:pt idx="278">
                  <c:v>126.1576200001024</c:v>
                </c:pt>
                <c:pt idx="279">
                  <c:v>126.40892999923933</c:v>
                </c:pt>
                <c:pt idx="280">
                  <c:v>125.90630999913694</c:v>
                </c:pt>
                <c:pt idx="281">
                  <c:v>125.90631000096546</c:v>
                </c:pt>
                <c:pt idx="282">
                  <c:v>128.41940999964893</c:v>
                </c:pt>
                <c:pt idx="283">
                  <c:v>123.64452000141894</c:v>
                </c:pt>
                <c:pt idx="284">
                  <c:v>120.37748999983909</c:v>
                </c:pt>
                <c:pt idx="285">
                  <c:v>123.39320999862495</c:v>
                </c:pt>
                <c:pt idx="286">
                  <c:v>123.39321000045348</c:v>
                </c:pt>
                <c:pt idx="287">
                  <c:v>123.39321000045348</c:v>
                </c:pt>
                <c:pt idx="288">
                  <c:v>123.14189999948802</c:v>
                </c:pt>
                <c:pt idx="289">
                  <c:v>128.67072000061438</c:v>
                </c:pt>
                <c:pt idx="290">
                  <c:v>125.40368999903454</c:v>
                </c:pt>
                <c:pt idx="291">
                  <c:v>120.37748999983909</c:v>
                </c:pt>
                <c:pt idx="292">
                  <c:v>125.90631000096546</c:v>
                </c:pt>
                <c:pt idx="293">
                  <c:v>123.39321000045348</c:v>
                </c:pt>
                <c:pt idx="294">
                  <c:v>123.39321000045348</c:v>
                </c:pt>
                <c:pt idx="295">
                  <c:v>121.13141999907843</c:v>
                </c:pt>
                <c:pt idx="296">
                  <c:v>128.16809999868346</c:v>
                </c:pt>
                <c:pt idx="297">
                  <c:v>128.7701999998078</c:v>
                </c:pt>
                <c:pt idx="298">
                  <c:v>128.41941000147744</c:v>
                </c:pt>
                <c:pt idx="299">
                  <c:v>125.1523799998976</c:v>
                </c:pt>
                <c:pt idx="300">
                  <c:v>128.41940999964893</c:v>
                </c:pt>
                <c:pt idx="301">
                  <c:v>118.3670099994295</c:v>
                </c:pt>
                <c:pt idx="302">
                  <c:v>125.40369000086307</c:v>
                </c:pt>
                <c:pt idx="303">
                  <c:v>123.64451999959041</c:v>
                </c:pt>
                <c:pt idx="304">
                  <c:v>125.90631000096546</c:v>
                </c:pt>
                <c:pt idx="305">
                  <c:v>125.655</c:v>
                </c:pt>
                <c:pt idx="306">
                  <c:v>125.90631000096546</c:v>
                </c:pt>
                <c:pt idx="307">
                  <c:v>125.40368999903454</c:v>
                </c:pt>
                <c:pt idx="308">
                  <c:v>121.13142000090694</c:v>
                </c:pt>
                <c:pt idx="309">
                  <c:v>121.13142000090694</c:v>
                </c:pt>
                <c:pt idx="310">
                  <c:v>120.37748999983909</c:v>
                </c:pt>
                <c:pt idx="311">
                  <c:v>121.38273000004389</c:v>
                </c:pt>
                <c:pt idx="312">
                  <c:v>125.655</c:v>
                </c:pt>
                <c:pt idx="313">
                  <c:v>123.64452000141894</c:v>
                </c:pt>
                <c:pt idx="314">
                  <c:v>122.89058999852256</c:v>
                </c:pt>
                <c:pt idx="315">
                  <c:v>125.90630999913694</c:v>
                </c:pt>
                <c:pt idx="316">
                  <c:v>122.89059000035108</c:v>
                </c:pt>
                <c:pt idx="317">
                  <c:v>120.62879999897604</c:v>
                </c:pt>
                <c:pt idx="318">
                  <c:v>126.1576200001024</c:v>
                </c:pt>
                <c:pt idx="319">
                  <c:v>125.655</c:v>
                </c:pt>
                <c:pt idx="320">
                  <c:v>126.1576200001024</c:v>
                </c:pt>
                <c:pt idx="321">
                  <c:v>121.63403999918083</c:v>
                </c:pt>
                <c:pt idx="322">
                  <c:v>123.39321000045348</c:v>
                </c:pt>
                <c:pt idx="323">
                  <c:v>125.90631000096546</c:v>
                </c:pt>
                <c:pt idx="324">
                  <c:v>118.11569999846404</c:v>
                </c:pt>
                <c:pt idx="325">
                  <c:v>120.12618000070215</c:v>
                </c:pt>
                <c:pt idx="326">
                  <c:v>120.88010999994148</c:v>
                </c:pt>
                <c:pt idx="327">
                  <c:v>120.62880000080455</c:v>
                </c:pt>
                <c:pt idx="328">
                  <c:v>125.1523799998976</c:v>
                </c:pt>
                <c:pt idx="329">
                  <c:v>118.36701000125802</c:v>
                </c:pt>
                <c:pt idx="330">
                  <c:v>125.655</c:v>
                </c:pt>
                <c:pt idx="331">
                  <c:v>125.655</c:v>
                </c:pt>
                <c:pt idx="332">
                  <c:v>123.39321000045348</c:v>
                </c:pt>
                <c:pt idx="333">
                  <c:v>121.13141999907843</c:v>
                </c:pt>
                <c:pt idx="334">
                  <c:v>120.37748999983909</c:v>
                </c:pt>
                <c:pt idx="335">
                  <c:v>120.37748999983909</c:v>
                </c:pt>
                <c:pt idx="336">
                  <c:v>126.1576200001024</c:v>
                </c:pt>
                <c:pt idx="337">
                  <c:v>125.90630999913694</c:v>
                </c:pt>
                <c:pt idx="338">
                  <c:v>126.1576200001024</c:v>
                </c:pt>
                <c:pt idx="339">
                  <c:v>128.168100000512</c:v>
                </c:pt>
                <c:pt idx="340">
                  <c:v>125.40369000086307</c:v>
                </c:pt>
                <c:pt idx="341">
                  <c:v>120.62880000080455</c:v>
                </c:pt>
                <c:pt idx="342">
                  <c:v>125.1523799998976</c:v>
                </c:pt>
                <c:pt idx="343">
                  <c:v>127.6695999995836</c:v>
                </c:pt>
                <c:pt idx="344">
                  <c:v>128.41940999964893</c:v>
                </c:pt>
                <c:pt idx="345">
                  <c:v>125.1523799998976</c:v>
                </c:pt>
                <c:pt idx="346">
                  <c:v>123.64451999959041</c:v>
                </c:pt>
                <c:pt idx="347">
                  <c:v>125.655</c:v>
                </c:pt>
                <c:pt idx="348">
                  <c:v>120.88010999994148</c:v>
                </c:pt>
                <c:pt idx="349">
                  <c:v>123.14189999948802</c:v>
                </c:pt>
                <c:pt idx="350">
                  <c:v>123.64451999959041</c:v>
                </c:pt>
                <c:pt idx="351">
                  <c:v>126.15761999827387</c:v>
                </c:pt>
                <c:pt idx="352">
                  <c:v>125.40369000086307</c:v>
                </c:pt>
                <c:pt idx="353">
                  <c:v>122.89058999852256</c:v>
                </c:pt>
                <c:pt idx="354">
                  <c:v>123.14189999948802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32-404B-A64E-EB09AD611CD1}"/>
            </c:ext>
          </c:extLst>
        </c:ser>
        <c:ser>
          <c:idx val="1"/>
          <c:order val="1"/>
          <c:tx>
            <c:v>Staf T3 to T2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'Lawrence vs Stafford'!$L$3:$L$357</c:f>
              <c:numCache>
                <c:formatCode>General</c:formatCode>
                <c:ptCount val="355"/>
                <c:pt idx="0">
                  <c:v>118.11570000029256</c:v>
                </c:pt>
                <c:pt idx="1">
                  <c:v>123.39320999953921</c:v>
                </c:pt>
                <c:pt idx="2">
                  <c:v>123.39320999953921</c:v>
                </c:pt>
                <c:pt idx="3">
                  <c:v>120.37749000075335</c:v>
                </c:pt>
                <c:pt idx="4">
                  <c:v>120.88010999994148</c:v>
                </c:pt>
                <c:pt idx="5">
                  <c:v>121.38273000004389</c:v>
                </c:pt>
                <c:pt idx="6">
                  <c:v>120.62879999989029</c:v>
                </c:pt>
                <c:pt idx="7">
                  <c:v>121.38273000004389</c:v>
                </c:pt>
                <c:pt idx="8">
                  <c:v>120.88010999994148</c:v>
                </c:pt>
                <c:pt idx="9">
                  <c:v>118.11570000029256</c:v>
                </c:pt>
                <c:pt idx="10">
                  <c:v>123.39321000045348</c:v>
                </c:pt>
                <c:pt idx="11">
                  <c:v>120.37748999983909</c:v>
                </c:pt>
                <c:pt idx="12">
                  <c:v>121.13141999999269</c:v>
                </c:pt>
                <c:pt idx="13">
                  <c:v>117.86439000024137</c:v>
                </c:pt>
                <c:pt idx="14">
                  <c:v>123.14189999948802</c:v>
                </c:pt>
                <c:pt idx="15">
                  <c:v>120.88010999994148</c:v>
                </c:pt>
                <c:pt idx="16">
                  <c:v>120.62880000080455</c:v>
                </c:pt>
                <c:pt idx="17">
                  <c:v>122.89059000035108</c:v>
                </c:pt>
                <c:pt idx="18">
                  <c:v>121.13141999999269</c:v>
                </c:pt>
                <c:pt idx="19">
                  <c:v>118.6183199994807</c:v>
                </c:pt>
                <c:pt idx="20">
                  <c:v>120.37748999983909</c:v>
                </c:pt>
                <c:pt idx="21">
                  <c:v>120.88010999994148</c:v>
                </c:pt>
                <c:pt idx="22">
                  <c:v>121.13141999999269</c:v>
                </c:pt>
                <c:pt idx="23">
                  <c:v>118.36701000034377</c:v>
                </c:pt>
                <c:pt idx="24">
                  <c:v>120.62879999989029</c:v>
                </c:pt>
                <c:pt idx="25">
                  <c:v>122.89058999943681</c:v>
                </c:pt>
                <c:pt idx="26">
                  <c:v>120.62879999989029</c:v>
                </c:pt>
                <c:pt idx="27">
                  <c:v>118.11570000029256</c:v>
                </c:pt>
                <c:pt idx="28">
                  <c:v>121.13141999999269</c:v>
                </c:pt>
                <c:pt idx="29">
                  <c:v>122.63928000029988</c:v>
                </c:pt>
                <c:pt idx="30">
                  <c:v>118.11570000029256</c:v>
                </c:pt>
                <c:pt idx="31">
                  <c:v>120.88011000085575</c:v>
                </c:pt>
                <c:pt idx="32">
                  <c:v>123.64452000050467</c:v>
                </c:pt>
                <c:pt idx="33">
                  <c:v>118.3670099994295</c:v>
                </c:pt>
                <c:pt idx="34">
                  <c:v>117.61307999927591</c:v>
                </c:pt>
                <c:pt idx="35">
                  <c:v>118.36701000034377</c:v>
                </c:pt>
                <c:pt idx="36">
                  <c:v>121.13141999999269</c:v>
                </c:pt>
                <c:pt idx="37">
                  <c:v>121.38273000004389</c:v>
                </c:pt>
                <c:pt idx="38">
                  <c:v>120.88010999994148</c:v>
                </c:pt>
                <c:pt idx="39">
                  <c:v>120.88010999994148</c:v>
                </c:pt>
                <c:pt idx="40">
                  <c:v>118.6183199994807</c:v>
                </c:pt>
                <c:pt idx="41">
                  <c:v>120.37749000075335</c:v>
                </c:pt>
                <c:pt idx="42">
                  <c:v>120.88010999994148</c:v>
                </c:pt>
                <c:pt idx="43">
                  <c:v>120.88010999994148</c:v>
                </c:pt>
                <c:pt idx="44">
                  <c:v>121.13141999999269</c:v>
                </c:pt>
                <c:pt idx="45">
                  <c:v>117.61308000019017</c:v>
                </c:pt>
                <c:pt idx="46">
                  <c:v>120.37748999983909</c:v>
                </c:pt>
                <c:pt idx="47">
                  <c:v>120.88010999994148</c:v>
                </c:pt>
                <c:pt idx="48">
                  <c:v>116.10521999988298</c:v>
                </c:pt>
                <c:pt idx="49">
                  <c:v>123.39321000045348</c:v>
                </c:pt>
                <c:pt idx="50">
                  <c:v>121.13141999999269</c:v>
                </c:pt>
                <c:pt idx="51">
                  <c:v>121.13141999999269</c:v>
                </c:pt>
                <c:pt idx="52">
                  <c:v>120.62879999989029</c:v>
                </c:pt>
                <c:pt idx="53">
                  <c:v>120.88010999994148</c:v>
                </c:pt>
                <c:pt idx="54">
                  <c:v>115.85390999983177</c:v>
                </c:pt>
                <c:pt idx="55">
                  <c:v>118.11570000029256</c:v>
                </c:pt>
                <c:pt idx="56">
                  <c:v>121.13141999999269</c:v>
                </c:pt>
                <c:pt idx="57">
                  <c:v>121.13141999999269</c:v>
                </c:pt>
                <c:pt idx="58">
                  <c:v>118.36701000034377</c:v>
                </c:pt>
                <c:pt idx="59">
                  <c:v>118.36701000034377</c:v>
                </c:pt>
                <c:pt idx="60">
                  <c:v>123.64452000050467</c:v>
                </c:pt>
                <c:pt idx="61">
                  <c:v>118.36701000034377</c:v>
                </c:pt>
                <c:pt idx="62">
                  <c:v>123.39320999953921</c:v>
                </c:pt>
                <c:pt idx="63">
                  <c:v>120.88011000085575</c:v>
                </c:pt>
                <c:pt idx="64">
                  <c:v>123.64452000050467</c:v>
                </c:pt>
                <c:pt idx="65">
                  <c:v>121.13141999999269</c:v>
                </c:pt>
                <c:pt idx="66">
                  <c:v>126.1576200001024</c:v>
                </c:pt>
                <c:pt idx="67">
                  <c:v>121.13141999999269</c:v>
                </c:pt>
                <c:pt idx="68">
                  <c:v>118.36701000034377</c:v>
                </c:pt>
                <c:pt idx="69">
                  <c:v>118.36701000034377</c:v>
                </c:pt>
                <c:pt idx="70">
                  <c:v>123.39320999953921</c:v>
                </c:pt>
                <c:pt idx="71">
                  <c:v>120.88010999994148</c:v>
                </c:pt>
                <c:pt idx="72">
                  <c:v>123.39321000045348</c:v>
                </c:pt>
                <c:pt idx="73">
                  <c:v>113.34081000023406</c:v>
                </c:pt>
                <c:pt idx="74">
                  <c:v>123.64452000050467</c:v>
                </c:pt>
                <c:pt idx="75">
                  <c:v>120.88010999994148</c:v>
                </c:pt>
                <c:pt idx="76">
                  <c:v>120.88010999994148</c:v>
                </c:pt>
                <c:pt idx="77">
                  <c:v>118.3670099994295</c:v>
                </c:pt>
                <c:pt idx="78">
                  <c:v>120.88010999994148</c:v>
                </c:pt>
                <c:pt idx="79">
                  <c:v>117.86439000024137</c:v>
                </c:pt>
                <c:pt idx="80">
                  <c:v>120.88010999994148</c:v>
                </c:pt>
                <c:pt idx="81">
                  <c:v>120.62879999989029</c:v>
                </c:pt>
                <c:pt idx="82">
                  <c:v>123.89582999964161</c:v>
                </c:pt>
                <c:pt idx="83">
                  <c:v>120.88010999994148</c:v>
                </c:pt>
                <c:pt idx="84">
                  <c:v>123.14189999948802</c:v>
                </c:pt>
                <c:pt idx="85">
                  <c:v>120.62879999989029</c:v>
                </c:pt>
                <c:pt idx="86">
                  <c:v>121.13141999999269</c:v>
                </c:pt>
                <c:pt idx="87">
                  <c:v>121.38273000004389</c:v>
                </c:pt>
                <c:pt idx="88">
                  <c:v>121.13141999999269</c:v>
                </c:pt>
                <c:pt idx="89">
                  <c:v>120.12617999978789</c:v>
                </c:pt>
                <c:pt idx="90">
                  <c:v>120.62879999989029</c:v>
                </c:pt>
                <c:pt idx="91">
                  <c:v>123.39321000045348</c:v>
                </c:pt>
                <c:pt idx="92">
                  <c:v>122.89059000035108</c:v>
                </c:pt>
                <c:pt idx="93">
                  <c:v>118.61832000039496</c:v>
                </c:pt>
                <c:pt idx="94">
                  <c:v>123.64451999959041</c:v>
                </c:pt>
                <c:pt idx="95">
                  <c:v>118.11570000029256</c:v>
                </c:pt>
                <c:pt idx="96">
                  <c:v>120.62879999989029</c:v>
                </c:pt>
                <c:pt idx="97">
                  <c:v>118.86963000044616</c:v>
                </c:pt>
                <c:pt idx="98">
                  <c:v>120.88010999994148</c:v>
                </c:pt>
                <c:pt idx="99">
                  <c:v>120.37748999983909</c:v>
                </c:pt>
                <c:pt idx="100">
                  <c:v>120.88010999994148</c:v>
                </c:pt>
                <c:pt idx="101">
                  <c:v>120.88010999994148</c:v>
                </c:pt>
                <c:pt idx="102">
                  <c:v>122.89059000035108</c:v>
                </c:pt>
                <c:pt idx="103">
                  <c:v>118.36701000034377</c:v>
                </c:pt>
                <c:pt idx="104">
                  <c:v>118.11569999937831</c:v>
                </c:pt>
                <c:pt idx="105">
                  <c:v>121.13141999999269</c:v>
                </c:pt>
                <c:pt idx="106">
                  <c:v>120.12617999978789</c:v>
                </c:pt>
                <c:pt idx="107">
                  <c:v>121.38273000004389</c:v>
                </c:pt>
                <c:pt idx="108">
                  <c:v>121.13141999999269</c:v>
                </c:pt>
                <c:pt idx="109">
                  <c:v>123.14190000040227</c:v>
                </c:pt>
                <c:pt idx="110">
                  <c:v>118.61832000039496</c:v>
                </c:pt>
                <c:pt idx="111">
                  <c:v>116.10521999988298</c:v>
                </c:pt>
                <c:pt idx="112">
                  <c:v>118.6183199994807</c:v>
                </c:pt>
                <c:pt idx="113">
                  <c:v>118.3670099994295</c:v>
                </c:pt>
                <c:pt idx="114">
                  <c:v>118.86963000044616</c:v>
                </c:pt>
                <c:pt idx="115">
                  <c:v>120.88010999994148</c:v>
                </c:pt>
                <c:pt idx="116">
                  <c:v>122.63928000029988</c:v>
                </c:pt>
                <c:pt idx="117">
                  <c:v>120.88010999994148</c:v>
                </c:pt>
                <c:pt idx="118">
                  <c:v>122.89059000035108</c:v>
                </c:pt>
                <c:pt idx="119">
                  <c:v>123.39320999953921</c:v>
                </c:pt>
                <c:pt idx="120">
                  <c:v>122.89058999943681</c:v>
                </c:pt>
                <c:pt idx="121">
                  <c:v>120.62880000080455</c:v>
                </c:pt>
                <c:pt idx="122">
                  <c:v>118.36701000034377</c:v>
                </c:pt>
                <c:pt idx="123">
                  <c:v>120.88011000085575</c:v>
                </c:pt>
                <c:pt idx="124">
                  <c:v>120.88010999994148</c:v>
                </c:pt>
                <c:pt idx="125">
                  <c:v>120.62879999989029</c:v>
                </c:pt>
                <c:pt idx="126">
                  <c:v>115.85390999983177</c:v>
                </c:pt>
                <c:pt idx="127">
                  <c:v>118.11570000029256</c:v>
                </c:pt>
                <c:pt idx="128">
                  <c:v>123.39321000045348</c:v>
                </c:pt>
                <c:pt idx="129">
                  <c:v>118.36701000034377</c:v>
                </c:pt>
                <c:pt idx="130">
                  <c:v>120.62880000080455</c:v>
                </c:pt>
                <c:pt idx="131">
                  <c:v>118.86963000044616</c:v>
                </c:pt>
                <c:pt idx="132">
                  <c:v>118.8696299995319</c:v>
                </c:pt>
                <c:pt idx="133">
                  <c:v>118.36701000034377</c:v>
                </c:pt>
                <c:pt idx="134">
                  <c:v>115.85390999983177</c:v>
                </c:pt>
                <c:pt idx="135">
                  <c:v>121.13141999999269</c:v>
                </c:pt>
                <c:pt idx="136">
                  <c:v>118.6183199994807</c:v>
                </c:pt>
                <c:pt idx="137">
                  <c:v>126.4089300001536</c:v>
                </c:pt>
                <c:pt idx="138">
                  <c:v>120.62879999989029</c:v>
                </c:pt>
                <c:pt idx="139">
                  <c:v>118.3670099994295</c:v>
                </c:pt>
                <c:pt idx="140">
                  <c:v>116.10522000079723</c:v>
                </c:pt>
                <c:pt idx="141">
                  <c:v>118.11570000029256</c:v>
                </c:pt>
                <c:pt idx="142">
                  <c:v>128.41940999964893</c:v>
                </c:pt>
                <c:pt idx="143">
                  <c:v>118.11570000029256</c:v>
                </c:pt>
                <c:pt idx="144">
                  <c:v>120.62879999989029</c:v>
                </c:pt>
                <c:pt idx="145">
                  <c:v>121.13141999999269</c:v>
                </c:pt>
                <c:pt idx="146">
                  <c:v>118.11570000029256</c:v>
                </c:pt>
                <c:pt idx="147">
                  <c:v>120.88010999994148</c:v>
                </c:pt>
                <c:pt idx="148">
                  <c:v>118.61832000039496</c:v>
                </c:pt>
                <c:pt idx="149">
                  <c:v>123.39321000045348</c:v>
                </c:pt>
                <c:pt idx="150">
                  <c:v>115.35128999972937</c:v>
                </c:pt>
                <c:pt idx="151">
                  <c:v>118.36701000034377</c:v>
                </c:pt>
                <c:pt idx="152">
                  <c:v>123.64451999959041</c:v>
                </c:pt>
                <c:pt idx="153">
                  <c:v>118.11570000029256</c:v>
                </c:pt>
                <c:pt idx="154">
                  <c:v>123.14190000040227</c:v>
                </c:pt>
                <c:pt idx="155">
                  <c:v>118.11570000029256</c:v>
                </c:pt>
                <c:pt idx="156">
                  <c:v>123.39321000045348</c:v>
                </c:pt>
                <c:pt idx="157">
                  <c:v>117.86439000024137</c:v>
                </c:pt>
                <c:pt idx="158">
                  <c:v>120.62879999989029</c:v>
                </c:pt>
                <c:pt idx="159">
                  <c:v>123.64452000050467</c:v>
                </c:pt>
                <c:pt idx="160">
                  <c:v>118.61832000039496</c:v>
                </c:pt>
                <c:pt idx="161">
                  <c:v>120.88010999994148</c:v>
                </c:pt>
                <c:pt idx="162">
                  <c:v>123.64451999959041</c:v>
                </c:pt>
                <c:pt idx="163">
                  <c:v>120.62879999989029</c:v>
                </c:pt>
                <c:pt idx="164">
                  <c:v>120.37748999983909</c:v>
                </c:pt>
                <c:pt idx="165">
                  <c:v>120.37749000166761</c:v>
                </c:pt>
                <c:pt idx="166">
                  <c:v>118.11570000029256</c:v>
                </c:pt>
                <c:pt idx="167">
                  <c:v>118.11570000029256</c:v>
                </c:pt>
                <c:pt idx="168">
                  <c:v>120.12617999887364</c:v>
                </c:pt>
                <c:pt idx="169">
                  <c:v>120.62879999897604</c:v>
                </c:pt>
                <c:pt idx="170">
                  <c:v>120.62880000080455</c:v>
                </c:pt>
                <c:pt idx="171">
                  <c:v>120.62880000080455</c:v>
                </c:pt>
                <c:pt idx="172">
                  <c:v>120.62879999897604</c:v>
                </c:pt>
                <c:pt idx="173">
                  <c:v>120.62880000080455</c:v>
                </c:pt>
                <c:pt idx="174">
                  <c:v>118.11570000029256</c:v>
                </c:pt>
                <c:pt idx="175">
                  <c:v>118.61832000039496</c:v>
                </c:pt>
                <c:pt idx="176">
                  <c:v>120.62880000080455</c:v>
                </c:pt>
                <c:pt idx="177">
                  <c:v>118.3670099994295</c:v>
                </c:pt>
                <c:pt idx="178">
                  <c:v>120.62880000080455</c:v>
                </c:pt>
                <c:pt idx="179">
                  <c:v>121.38273000004389</c:v>
                </c:pt>
                <c:pt idx="180">
                  <c:v>120.37748999983909</c:v>
                </c:pt>
                <c:pt idx="181">
                  <c:v>118.11570000029256</c:v>
                </c:pt>
                <c:pt idx="182">
                  <c:v>120.88010999994148</c:v>
                </c:pt>
                <c:pt idx="183">
                  <c:v>117.8643899993271</c:v>
                </c:pt>
                <c:pt idx="184">
                  <c:v>118.11569999846404</c:v>
                </c:pt>
                <c:pt idx="185">
                  <c:v>120.88010999994148</c:v>
                </c:pt>
                <c:pt idx="186">
                  <c:v>120.62880000080455</c:v>
                </c:pt>
                <c:pt idx="187">
                  <c:v>118.36701000125802</c:v>
                </c:pt>
                <c:pt idx="188">
                  <c:v>120.62880000080455</c:v>
                </c:pt>
                <c:pt idx="189">
                  <c:v>120.37748999983909</c:v>
                </c:pt>
                <c:pt idx="190">
                  <c:v>117.8643899993271</c:v>
                </c:pt>
                <c:pt idx="191">
                  <c:v>118.86963000136042</c:v>
                </c:pt>
                <c:pt idx="192">
                  <c:v>117.8643899993271</c:v>
                </c:pt>
                <c:pt idx="193">
                  <c:v>118.61832000039496</c:v>
                </c:pt>
                <c:pt idx="194">
                  <c:v>120.62880000080455</c:v>
                </c:pt>
                <c:pt idx="195">
                  <c:v>117.8643899993271</c:v>
                </c:pt>
                <c:pt idx="196">
                  <c:v>120.62880000080455</c:v>
                </c:pt>
                <c:pt idx="197">
                  <c:v>120.62880000080455</c:v>
                </c:pt>
                <c:pt idx="198">
                  <c:v>118.11570000029256</c:v>
                </c:pt>
                <c:pt idx="199">
                  <c:v>118.11570000029256</c:v>
                </c:pt>
                <c:pt idx="200">
                  <c:v>117.8643899993271</c:v>
                </c:pt>
                <c:pt idx="201">
                  <c:v>118.11570000029256</c:v>
                </c:pt>
                <c:pt idx="202">
                  <c:v>117.8643899993271</c:v>
                </c:pt>
                <c:pt idx="203">
                  <c:v>120.37748999983909</c:v>
                </c:pt>
                <c:pt idx="204">
                  <c:v>118.11570000029256</c:v>
                </c:pt>
                <c:pt idx="205">
                  <c:v>121.13141999907843</c:v>
                </c:pt>
                <c:pt idx="206">
                  <c:v>118.86963000136042</c:v>
                </c:pt>
                <c:pt idx="207">
                  <c:v>118.3670099994295</c:v>
                </c:pt>
                <c:pt idx="208">
                  <c:v>120.88010999994148</c:v>
                </c:pt>
                <c:pt idx="209">
                  <c:v>118.3670099994295</c:v>
                </c:pt>
                <c:pt idx="210">
                  <c:v>123.64451999959041</c:v>
                </c:pt>
                <c:pt idx="211">
                  <c:v>118.11570000029256</c:v>
                </c:pt>
                <c:pt idx="212">
                  <c:v>120.62880000080455</c:v>
                </c:pt>
                <c:pt idx="213">
                  <c:v>118.11570000029256</c:v>
                </c:pt>
                <c:pt idx="214">
                  <c:v>123.64451999959041</c:v>
                </c:pt>
                <c:pt idx="215">
                  <c:v>118.11570000029256</c:v>
                </c:pt>
                <c:pt idx="216">
                  <c:v>115.35129000064364</c:v>
                </c:pt>
                <c:pt idx="217">
                  <c:v>120.88010999994148</c:v>
                </c:pt>
                <c:pt idx="218">
                  <c:v>123.64451999959041</c:v>
                </c:pt>
                <c:pt idx="219">
                  <c:v>118.8696299995319</c:v>
                </c:pt>
                <c:pt idx="220">
                  <c:v>121.63404000100934</c:v>
                </c:pt>
                <c:pt idx="221">
                  <c:v>121.13141999907843</c:v>
                </c:pt>
                <c:pt idx="222">
                  <c:v>118.11570000029256</c:v>
                </c:pt>
                <c:pt idx="223">
                  <c:v>120.62880000080455</c:v>
                </c:pt>
                <c:pt idx="224">
                  <c:v>118.36701000125802</c:v>
                </c:pt>
                <c:pt idx="225">
                  <c:v>118.61832000039496</c:v>
                </c:pt>
                <c:pt idx="226">
                  <c:v>123.39321000045348</c:v>
                </c:pt>
                <c:pt idx="227">
                  <c:v>120.37749000166761</c:v>
                </c:pt>
                <c:pt idx="228">
                  <c:v>115.85391000074604</c:v>
                </c:pt>
                <c:pt idx="229">
                  <c:v>120.88010999994148</c:v>
                </c:pt>
                <c:pt idx="230">
                  <c:v>118.11570000029256</c:v>
                </c:pt>
                <c:pt idx="231">
                  <c:v>120.88010999994148</c:v>
                </c:pt>
                <c:pt idx="232">
                  <c:v>123.14189999948802</c:v>
                </c:pt>
                <c:pt idx="233">
                  <c:v>120.37748999983909</c:v>
                </c:pt>
                <c:pt idx="234">
                  <c:v>123.39321000045348</c:v>
                </c:pt>
                <c:pt idx="235">
                  <c:v>121.13141999907843</c:v>
                </c:pt>
                <c:pt idx="236">
                  <c:v>118.36701000125802</c:v>
                </c:pt>
                <c:pt idx="237">
                  <c:v>120.62880000080455</c:v>
                </c:pt>
                <c:pt idx="238">
                  <c:v>122.89059000035108</c:v>
                </c:pt>
                <c:pt idx="239">
                  <c:v>121.38273000004389</c:v>
                </c:pt>
                <c:pt idx="240">
                  <c:v>122.89059000035108</c:v>
                </c:pt>
                <c:pt idx="241">
                  <c:v>120.88010999994148</c:v>
                </c:pt>
                <c:pt idx="242">
                  <c:v>123.14189999948802</c:v>
                </c:pt>
                <c:pt idx="243">
                  <c:v>120.37749000166761</c:v>
                </c:pt>
                <c:pt idx="244">
                  <c:v>121.13142000090694</c:v>
                </c:pt>
                <c:pt idx="245">
                  <c:v>120.88010999994148</c:v>
                </c:pt>
                <c:pt idx="246">
                  <c:v>118.3670099994295</c:v>
                </c:pt>
                <c:pt idx="247">
                  <c:v>118.11570000029256</c:v>
                </c:pt>
                <c:pt idx="248">
                  <c:v>120.62880000080455</c:v>
                </c:pt>
                <c:pt idx="249">
                  <c:v>123.39321000045348</c:v>
                </c:pt>
                <c:pt idx="250">
                  <c:v>121.38273000004389</c:v>
                </c:pt>
                <c:pt idx="251">
                  <c:v>120.37748999983909</c:v>
                </c:pt>
                <c:pt idx="252">
                  <c:v>119.96540000041641</c:v>
                </c:pt>
                <c:pt idx="253">
                  <c:v>120.88010999994148</c:v>
                </c:pt>
                <c:pt idx="254">
                  <c:v>120.62880000080455</c:v>
                </c:pt>
                <c:pt idx="255">
                  <c:v>120.88010999994148</c:v>
                </c:pt>
                <c:pt idx="256">
                  <c:v>118.11570000029256</c:v>
                </c:pt>
                <c:pt idx="257">
                  <c:v>118.11570000029256</c:v>
                </c:pt>
                <c:pt idx="258">
                  <c:v>121.13142000090694</c:v>
                </c:pt>
                <c:pt idx="259">
                  <c:v>123.39321000045348</c:v>
                </c:pt>
                <c:pt idx="260">
                  <c:v>118.61832000039496</c:v>
                </c:pt>
                <c:pt idx="261">
                  <c:v>121.13141999907843</c:v>
                </c:pt>
                <c:pt idx="262">
                  <c:v>118.36701000125802</c:v>
                </c:pt>
                <c:pt idx="263">
                  <c:v>123.14190000131654</c:v>
                </c:pt>
                <c:pt idx="264">
                  <c:v>120.88010999994148</c:v>
                </c:pt>
                <c:pt idx="265">
                  <c:v>118.61832000039496</c:v>
                </c:pt>
                <c:pt idx="266">
                  <c:v>120.62879999897604</c:v>
                </c:pt>
                <c:pt idx="267">
                  <c:v>120.37749000166761</c:v>
                </c:pt>
                <c:pt idx="268">
                  <c:v>123.39321000045348</c:v>
                </c:pt>
                <c:pt idx="269">
                  <c:v>118.8696299995319</c:v>
                </c:pt>
                <c:pt idx="270">
                  <c:v>118.8696299995319</c:v>
                </c:pt>
                <c:pt idx="271">
                  <c:v>118.3670099994295</c:v>
                </c:pt>
                <c:pt idx="272">
                  <c:v>120.12617999887364</c:v>
                </c:pt>
                <c:pt idx="273">
                  <c:v>118.11570000029256</c:v>
                </c:pt>
                <c:pt idx="274">
                  <c:v>121.38273000004389</c:v>
                </c:pt>
                <c:pt idx="275">
                  <c:v>123.64451999959041</c:v>
                </c:pt>
                <c:pt idx="276">
                  <c:v>121.13141999907843</c:v>
                </c:pt>
                <c:pt idx="277">
                  <c:v>121.13142000090694</c:v>
                </c:pt>
                <c:pt idx="278">
                  <c:v>123.14190000131654</c:v>
                </c:pt>
                <c:pt idx="279">
                  <c:v>117.86439000115563</c:v>
                </c:pt>
                <c:pt idx="280">
                  <c:v>118.11570000029256</c:v>
                </c:pt>
                <c:pt idx="281">
                  <c:v>121.38273000004389</c:v>
                </c:pt>
                <c:pt idx="282">
                  <c:v>118.36701000125802</c:v>
                </c:pt>
                <c:pt idx="283">
                  <c:v>123.14189999948802</c:v>
                </c:pt>
                <c:pt idx="284">
                  <c:v>123.39320999862495</c:v>
                </c:pt>
                <c:pt idx="285">
                  <c:v>115.85391000074604</c:v>
                </c:pt>
                <c:pt idx="286">
                  <c:v>121.13142000090694</c:v>
                </c:pt>
                <c:pt idx="287">
                  <c:v>120.62880000080455</c:v>
                </c:pt>
                <c:pt idx="288">
                  <c:v>120.88010999994148</c:v>
                </c:pt>
                <c:pt idx="289">
                  <c:v>118.11570000029256</c:v>
                </c:pt>
                <c:pt idx="290">
                  <c:v>123.64452000141894</c:v>
                </c:pt>
                <c:pt idx="291">
                  <c:v>123.39320999862495</c:v>
                </c:pt>
                <c:pt idx="292">
                  <c:v>118.3670099994295</c:v>
                </c:pt>
                <c:pt idx="293">
                  <c:v>120.62879999897604</c:v>
                </c:pt>
                <c:pt idx="294">
                  <c:v>118.11570000029256</c:v>
                </c:pt>
                <c:pt idx="295">
                  <c:v>117.86439000115563</c:v>
                </c:pt>
                <c:pt idx="296">
                  <c:v>118.11570000029256</c:v>
                </c:pt>
                <c:pt idx="297">
                  <c:v>119.96540000041641</c:v>
                </c:pt>
                <c:pt idx="298">
                  <c:v>120.62879999897604</c:v>
                </c:pt>
                <c:pt idx="299">
                  <c:v>118.61832000039496</c:v>
                </c:pt>
                <c:pt idx="300">
                  <c:v>118.11570000029256</c:v>
                </c:pt>
                <c:pt idx="301">
                  <c:v>120.88010999994148</c:v>
                </c:pt>
                <c:pt idx="302">
                  <c:v>120.88010999994148</c:v>
                </c:pt>
                <c:pt idx="303">
                  <c:v>118.11570000029256</c:v>
                </c:pt>
                <c:pt idx="304">
                  <c:v>120.37748999983909</c:v>
                </c:pt>
                <c:pt idx="305">
                  <c:v>121.13142000090694</c:v>
                </c:pt>
                <c:pt idx="306">
                  <c:v>118.11570000029256</c:v>
                </c:pt>
                <c:pt idx="307">
                  <c:v>120.88010999994148</c:v>
                </c:pt>
                <c:pt idx="308">
                  <c:v>123.39321000045348</c:v>
                </c:pt>
                <c:pt idx="309">
                  <c:v>120.37748999983909</c:v>
                </c:pt>
                <c:pt idx="310">
                  <c:v>123.64451999959041</c:v>
                </c:pt>
                <c:pt idx="311">
                  <c:v>120.12617999887364</c:v>
                </c:pt>
                <c:pt idx="312">
                  <c:v>118.3670099994295</c:v>
                </c:pt>
                <c:pt idx="313">
                  <c:v>123.14189999948802</c:v>
                </c:pt>
                <c:pt idx="314">
                  <c:v>123.39321000045348</c:v>
                </c:pt>
                <c:pt idx="315">
                  <c:v>118.36701000125802</c:v>
                </c:pt>
                <c:pt idx="316">
                  <c:v>121.38273000004389</c:v>
                </c:pt>
                <c:pt idx="317">
                  <c:v>123.64452000141894</c:v>
                </c:pt>
                <c:pt idx="318">
                  <c:v>116.10521999988298</c:v>
                </c:pt>
                <c:pt idx="319">
                  <c:v>118.8696299995319</c:v>
                </c:pt>
                <c:pt idx="320">
                  <c:v>118.11570000029256</c:v>
                </c:pt>
                <c:pt idx="321">
                  <c:v>120.37748999983909</c:v>
                </c:pt>
                <c:pt idx="322">
                  <c:v>123.39321000045348</c:v>
                </c:pt>
                <c:pt idx="323">
                  <c:v>118.11569999846404</c:v>
                </c:pt>
                <c:pt idx="324">
                  <c:v>120.88010999994148</c:v>
                </c:pt>
                <c:pt idx="325">
                  <c:v>121.13142000090694</c:v>
                </c:pt>
                <c:pt idx="326">
                  <c:v>123.14189999948802</c:v>
                </c:pt>
                <c:pt idx="327">
                  <c:v>123.39320999862495</c:v>
                </c:pt>
                <c:pt idx="328">
                  <c:v>118.61831999856643</c:v>
                </c:pt>
                <c:pt idx="329">
                  <c:v>120.37748999983909</c:v>
                </c:pt>
                <c:pt idx="330">
                  <c:v>118.11570000029256</c:v>
                </c:pt>
                <c:pt idx="331">
                  <c:v>118.36701000125802</c:v>
                </c:pt>
                <c:pt idx="332">
                  <c:v>120.88010999994148</c:v>
                </c:pt>
                <c:pt idx="333">
                  <c:v>123.14190000131654</c:v>
                </c:pt>
                <c:pt idx="334">
                  <c:v>123.39321000045348</c:v>
                </c:pt>
                <c:pt idx="335">
                  <c:v>120.88010999994148</c:v>
                </c:pt>
                <c:pt idx="336">
                  <c:v>123.14190000131654</c:v>
                </c:pt>
                <c:pt idx="337">
                  <c:v>122.89059000035108</c:v>
                </c:pt>
                <c:pt idx="338">
                  <c:v>120.62879999897604</c:v>
                </c:pt>
                <c:pt idx="339">
                  <c:v>118.3670099994295</c:v>
                </c:pt>
                <c:pt idx="340">
                  <c:v>121.38273000004389</c:v>
                </c:pt>
                <c:pt idx="341">
                  <c:v>118.61832000039496</c:v>
                </c:pt>
                <c:pt idx="342">
                  <c:v>120.62880000080455</c:v>
                </c:pt>
                <c:pt idx="343">
                  <c:v>118.86480000019219</c:v>
                </c:pt>
                <c:pt idx="344">
                  <c:v>115.60259999978058</c:v>
                </c:pt>
                <c:pt idx="345">
                  <c:v>118.61832000039496</c:v>
                </c:pt>
                <c:pt idx="346">
                  <c:v>120.88010999994148</c:v>
                </c:pt>
                <c:pt idx="347">
                  <c:v>123.39321000045348</c:v>
                </c:pt>
                <c:pt idx="348">
                  <c:v>120.37748999983909</c:v>
                </c:pt>
                <c:pt idx="349">
                  <c:v>118.61832000039496</c:v>
                </c:pt>
                <c:pt idx="350">
                  <c:v>120.37748999983909</c:v>
                </c:pt>
                <c:pt idx="351">
                  <c:v>120.62880000080455</c:v>
                </c:pt>
                <c:pt idx="352">
                  <c:v>121.13141999907843</c:v>
                </c:pt>
                <c:pt idx="353">
                  <c:v>115.60259999978058</c:v>
                </c:pt>
                <c:pt idx="354">
                  <c:v>118.11570000029256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32-404B-A64E-EB09AD611CD1}"/>
            </c:ext>
          </c:extLst>
        </c:ser>
        <c:ser>
          <c:idx val="2"/>
          <c:order val="2"/>
          <c:tx>
            <c:v>Staf T2 to AltS1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'Lawrence vs Stafford'!$N$3:$N$357</c:f>
              <c:numCache>
                <c:formatCode>General</c:formatCode>
                <c:ptCount val="355"/>
                <c:pt idx="0">
                  <c:v>99.518759999246655</c:v>
                </c:pt>
                <c:pt idx="1">
                  <c:v>96.503040000460786</c:v>
                </c:pt>
                <c:pt idx="2">
                  <c:v>94.241250000000008</c:v>
                </c:pt>
                <c:pt idx="3">
                  <c:v>96.50303999954653</c:v>
                </c:pt>
                <c:pt idx="4">
                  <c:v>99.016140000058513</c:v>
                </c:pt>
                <c:pt idx="5">
                  <c:v>96.50303999954653</c:v>
                </c:pt>
                <c:pt idx="6">
                  <c:v>97.759589999802515</c:v>
                </c:pt>
                <c:pt idx="7">
                  <c:v>97.508279999751323</c:v>
                </c:pt>
                <c:pt idx="8">
                  <c:v>97.508280000665579</c:v>
                </c:pt>
                <c:pt idx="9">
                  <c:v>98.764830000007322</c:v>
                </c:pt>
                <c:pt idx="10">
                  <c:v>94.743869999188135</c:v>
                </c:pt>
                <c:pt idx="11">
                  <c:v>98.262209999904911</c:v>
                </c:pt>
                <c:pt idx="12">
                  <c:v>97.256970000614388</c:v>
                </c:pt>
                <c:pt idx="13">
                  <c:v>100.02138000026331</c:v>
                </c:pt>
                <c:pt idx="14">
                  <c:v>96.000420000358389</c:v>
                </c:pt>
                <c:pt idx="15">
                  <c:v>97.759589999802515</c:v>
                </c:pt>
                <c:pt idx="16">
                  <c:v>97.005659999648927</c:v>
                </c:pt>
                <c:pt idx="17">
                  <c:v>95.497800000255992</c:v>
                </c:pt>
                <c:pt idx="18">
                  <c:v>98.262209999904911</c:v>
                </c:pt>
                <c:pt idx="19">
                  <c:v>100.02138000026331</c:v>
                </c:pt>
                <c:pt idx="20">
                  <c:v>99.267450000109719</c:v>
                </c:pt>
                <c:pt idx="21">
                  <c:v>97.256969999700118</c:v>
                </c:pt>
                <c:pt idx="22">
                  <c:v>97.759589999802515</c:v>
                </c:pt>
                <c:pt idx="23">
                  <c:v>99.016140000058513</c:v>
                </c:pt>
                <c:pt idx="24">
                  <c:v>98.262209999904911</c:v>
                </c:pt>
                <c:pt idx="25">
                  <c:v>95.749110000307198</c:v>
                </c:pt>
                <c:pt idx="26">
                  <c:v>97.508280000665579</c:v>
                </c:pt>
                <c:pt idx="27">
                  <c:v>101.52923999965624</c:v>
                </c:pt>
                <c:pt idx="28">
                  <c:v>96.503040000460786</c:v>
                </c:pt>
                <c:pt idx="29">
                  <c:v>95.749109999392928</c:v>
                </c:pt>
                <c:pt idx="30">
                  <c:v>96.754349999597721</c:v>
                </c:pt>
                <c:pt idx="31">
                  <c:v>98.262209999904911</c:v>
                </c:pt>
                <c:pt idx="32">
                  <c:v>93.989939999948803</c:v>
                </c:pt>
                <c:pt idx="33">
                  <c:v>99.51876000016091</c:v>
                </c:pt>
                <c:pt idx="34">
                  <c:v>99.267450000109719</c:v>
                </c:pt>
                <c:pt idx="35">
                  <c:v>99.770070000212115</c:v>
                </c:pt>
                <c:pt idx="36">
                  <c:v>96.754349999597721</c:v>
                </c:pt>
                <c:pt idx="37">
                  <c:v>97.256970000614388</c:v>
                </c:pt>
                <c:pt idx="38">
                  <c:v>97.508279999751323</c:v>
                </c:pt>
                <c:pt idx="39">
                  <c:v>97.759589999802515</c:v>
                </c:pt>
                <c:pt idx="40">
                  <c:v>99.016140000058513</c:v>
                </c:pt>
                <c:pt idx="41">
                  <c:v>98.01089999985372</c:v>
                </c:pt>
                <c:pt idx="42">
                  <c:v>98.010900000767975</c:v>
                </c:pt>
                <c:pt idx="43">
                  <c:v>96.754349999597721</c:v>
                </c:pt>
                <c:pt idx="44">
                  <c:v>97.508279999751323</c:v>
                </c:pt>
                <c:pt idx="45">
                  <c:v>99.267450000109719</c:v>
                </c:pt>
                <c:pt idx="46">
                  <c:v>97.759589999802515</c:v>
                </c:pt>
                <c:pt idx="47">
                  <c:v>97.256969999700118</c:v>
                </c:pt>
                <c:pt idx="48">
                  <c:v>96.251729999495325</c:v>
                </c:pt>
                <c:pt idx="49">
                  <c:v>95.246489999290532</c:v>
                </c:pt>
                <c:pt idx="50">
                  <c:v>98.01089999985372</c:v>
                </c:pt>
                <c:pt idx="51">
                  <c:v>97.005659999648927</c:v>
                </c:pt>
                <c:pt idx="52">
                  <c:v>98.262209999904911</c:v>
                </c:pt>
                <c:pt idx="53">
                  <c:v>97.508280000665579</c:v>
                </c:pt>
                <c:pt idx="54">
                  <c:v>100.52399999945145</c:v>
                </c:pt>
                <c:pt idx="55">
                  <c:v>100.27268999940024</c:v>
                </c:pt>
                <c:pt idx="56">
                  <c:v>100.02137999934905</c:v>
                </c:pt>
                <c:pt idx="57">
                  <c:v>95.749110000307198</c:v>
                </c:pt>
                <c:pt idx="58">
                  <c:v>100.77531000041691</c:v>
                </c:pt>
                <c:pt idx="59">
                  <c:v>99.267450000109719</c:v>
                </c:pt>
                <c:pt idx="60">
                  <c:v>95.497799999341737</c:v>
                </c:pt>
                <c:pt idx="61">
                  <c:v>98.513519999956117</c:v>
                </c:pt>
                <c:pt idx="62">
                  <c:v>95.749110000307198</c:v>
                </c:pt>
                <c:pt idx="63">
                  <c:v>96.50303999954653</c:v>
                </c:pt>
                <c:pt idx="64">
                  <c:v>95.497800000255992</c:v>
                </c:pt>
                <c:pt idx="65">
                  <c:v>96.503040000460786</c:v>
                </c:pt>
                <c:pt idx="66">
                  <c:v>91.979459999539216</c:v>
                </c:pt>
                <c:pt idx="67">
                  <c:v>96.50303999954653</c:v>
                </c:pt>
                <c:pt idx="68">
                  <c:v>99.267450000109719</c:v>
                </c:pt>
                <c:pt idx="69">
                  <c:v>99.770070000212115</c:v>
                </c:pt>
                <c:pt idx="70">
                  <c:v>95.749110000307198</c:v>
                </c:pt>
                <c:pt idx="71">
                  <c:v>96.50303999954653</c:v>
                </c:pt>
                <c:pt idx="72">
                  <c:v>95.497799999341737</c:v>
                </c:pt>
                <c:pt idx="73">
                  <c:v>99.518759999246655</c:v>
                </c:pt>
                <c:pt idx="74">
                  <c:v>94.995180000153596</c:v>
                </c:pt>
                <c:pt idx="75">
                  <c:v>97.256970000614388</c:v>
                </c:pt>
                <c:pt idx="76">
                  <c:v>98.01089999985372</c:v>
                </c:pt>
                <c:pt idx="77">
                  <c:v>98.513519999956117</c:v>
                </c:pt>
                <c:pt idx="78">
                  <c:v>97.256969999700118</c:v>
                </c:pt>
                <c:pt idx="79">
                  <c:v>99.016140000058513</c:v>
                </c:pt>
                <c:pt idx="80">
                  <c:v>97.508279999751323</c:v>
                </c:pt>
                <c:pt idx="81">
                  <c:v>97.508279999751323</c:v>
                </c:pt>
                <c:pt idx="82">
                  <c:v>94.743870000102405</c:v>
                </c:pt>
                <c:pt idx="83">
                  <c:v>96.50303999954653</c:v>
                </c:pt>
                <c:pt idx="84">
                  <c:v>94.995180000153596</c:v>
                </c:pt>
                <c:pt idx="85">
                  <c:v>97.256970000614388</c:v>
                </c:pt>
                <c:pt idx="86">
                  <c:v>97.256970000614388</c:v>
                </c:pt>
                <c:pt idx="87">
                  <c:v>97.256969999700118</c:v>
                </c:pt>
                <c:pt idx="88">
                  <c:v>97.005659999648927</c:v>
                </c:pt>
                <c:pt idx="89">
                  <c:v>96.754349999597721</c:v>
                </c:pt>
                <c:pt idx="90">
                  <c:v>97.256970000614388</c:v>
                </c:pt>
                <c:pt idx="91">
                  <c:v>96.754349999597721</c:v>
                </c:pt>
                <c:pt idx="92">
                  <c:v>94.743870000102405</c:v>
                </c:pt>
                <c:pt idx="93">
                  <c:v>100.02137999934905</c:v>
                </c:pt>
                <c:pt idx="94">
                  <c:v>94.241250000000008</c:v>
                </c:pt>
                <c:pt idx="95">
                  <c:v>100.02138000026331</c:v>
                </c:pt>
                <c:pt idx="96">
                  <c:v>97.256970000614388</c:v>
                </c:pt>
                <c:pt idx="97">
                  <c:v>99.51876000016091</c:v>
                </c:pt>
                <c:pt idx="98">
                  <c:v>97.508280000665579</c:v>
                </c:pt>
                <c:pt idx="99">
                  <c:v>95.497800000255992</c:v>
                </c:pt>
                <c:pt idx="100">
                  <c:v>97.256969999700118</c:v>
                </c:pt>
                <c:pt idx="101">
                  <c:v>96.251729999495325</c:v>
                </c:pt>
                <c:pt idx="102">
                  <c:v>94.492560000051199</c:v>
                </c:pt>
                <c:pt idx="103">
                  <c:v>98.262209999904911</c:v>
                </c:pt>
                <c:pt idx="104">
                  <c:v>100.02138000026331</c:v>
                </c:pt>
                <c:pt idx="105">
                  <c:v>98.01089999985372</c:v>
                </c:pt>
                <c:pt idx="106">
                  <c:v>99.016140000058513</c:v>
                </c:pt>
                <c:pt idx="107">
                  <c:v>96.754349999597721</c:v>
                </c:pt>
                <c:pt idx="108">
                  <c:v>97.508280000665579</c:v>
                </c:pt>
                <c:pt idx="109">
                  <c:v>94.995180000153596</c:v>
                </c:pt>
                <c:pt idx="110">
                  <c:v>97.759589999802515</c:v>
                </c:pt>
                <c:pt idx="111">
                  <c:v>100.77531000041691</c:v>
                </c:pt>
                <c:pt idx="112">
                  <c:v>99.267450000109719</c:v>
                </c:pt>
                <c:pt idx="113">
                  <c:v>99.770070000212115</c:v>
                </c:pt>
                <c:pt idx="114">
                  <c:v>98.262209999904911</c:v>
                </c:pt>
                <c:pt idx="115">
                  <c:v>96.50303999954653</c:v>
                </c:pt>
                <c:pt idx="116">
                  <c:v>95.749109999392928</c:v>
                </c:pt>
                <c:pt idx="117">
                  <c:v>98.262209999904911</c:v>
                </c:pt>
                <c:pt idx="118">
                  <c:v>94.492560000051199</c:v>
                </c:pt>
                <c:pt idx="119">
                  <c:v>97.005660000563182</c:v>
                </c:pt>
                <c:pt idx="120">
                  <c:v>94.743870000102405</c:v>
                </c:pt>
                <c:pt idx="121">
                  <c:v>98.01089999985372</c:v>
                </c:pt>
                <c:pt idx="122">
                  <c:v>98.764830000007322</c:v>
                </c:pt>
                <c:pt idx="123">
                  <c:v>96.754349999597721</c:v>
                </c:pt>
                <c:pt idx="124">
                  <c:v>97.005660000563182</c:v>
                </c:pt>
                <c:pt idx="125">
                  <c:v>97.759590000716784</c:v>
                </c:pt>
                <c:pt idx="126">
                  <c:v>100.27268999940024</c:v>
                </c:pt>
                <c:pt idx="127">
                  <c:v>99.267450000109719</c:v>
                </c:pt>
                <c:pt idx="128">
                  <c:v>96.754349999597721</c:v>
                </c:pt>
                <c:pt idx="129">
                  <c:v>98.764830000007322</c:v>
                </c:pt>
                <c:pt idx="130">
                  <c:v>97.759589999802515</c:v>
                </c:pt>
                <c:pt idx="131">
                  <c:v>96.754349999597721</c:v>
                </c:pt>
                <c:pt idx="132">
                  <c:v>98.513519999956117</c:v>
                </c:pt>
                <c:pt idx="133">
                  <c:v>99.267450000109719</c:v>
                </c:pt>
                <c:pt idx="134">
                  <c:v>100.02138000026331</c:v>
                </c:pt>
                <c:pt idx="135">
                  <c:v>97.256969999700118</c:v>
                </c:pt>
                <c:pt idx="136">
                  <c:v>99.267450000109719</c:v>
                </c:pt>
                <c:pt idx="137">
                  <c:v>92.733389999692804</c:v>
                </c:pt>
                <c:pt idx="138">
                  <c:v>98.01089999985372</c:v>
                </c:pt>
                <c:pt idx="139">
                  <c:v>98.764830000007322</c:v>
                </c:pt>
                <c:pt idx="140">
                  <c:v>100.77530999950264</c:v>
                </c:pt>
                <c:pt idx="141">
                  <c:v>100.02138000026331</c:v>
                </c:pt>
                <c:pt idx="142">
                  <c:v>93.738629999897597</c:v>
                </c:pt>
                <c:pt idx="143">
                  <c:v>100.5240000003657</c:v>
                </c:pt>
                <c:pt idx="144">
                  <c:v>97.759589999802515</c:v>
                </c:pt>
                <c:pt idx="145">
                  <c:v>98.262209999904911</c:v>
                </c:pt>
                <c:pt idx="146">
                  <c:v>100.77530999950264</c:v>
                </c:pt>
                <c:pt idx="147">
                  <c:v>98.010900000767975</c:v>
                </c:pt>
                <c:pt idx="148">
                  <c:v>100.52399999945145</c:v>
                </c:pt>
                <c:pt idx="149">
                  <c:v>94.492559999136944</c:v>
                </c:pt>
                <c:pt idx="150">
                  <c:v>101.27792999960504</c:v>
                </c:pt>
                <c:pt idx="151">
                  <c:v>99.267450000109719</c:v>
                </c:pt>
                <c:pt idx="152">
                  <c:v>93.989939999948803</c:v>
                </c:pt>
                <c:pt idx="153">
                  <c:v>100.02137999934905</c:v>
                </c:pt>
                <c:pt idx="154">
                  <c:v>95.749110000307198</c:v>
                </c:pt>
                <c:pt idx="155">
                  <c:v>99.770069999297846</c:v>
                </c:pt>
                <c:pt idx="156">
                  <c:v>96.000420000358389</c:v>
                </c:pt>
                <c:pt idx="157">
                  <c:v>98.764830000007322</c:v>
                </c:pt>
                <c:pt idx="158">
                  <c:v>96.754349999597721</c:v>
                </c:pt>
                <c:pt idx="159">
                  <c:v>95.749109999392928</c:v>
                </c:pt>
                <c:pt idx="160">
                  <c:v>102.28316999980983</c:v>
                </c:pt>
                <c:pt idx="161">
                  <c:v>97.005660000563182</c:v>
                </c:pt>
                <c:pt idx="162">
                  <c:v>94.743870000102405</c:v>
                </c:pt>
                <c:pt idx="163">
                  <c:v>97.759589999802515</c:v>
                </c:pt>
                <c:pt idx="164">
                  <c:v>97.508279999751323</c:v>
                </c:pt>
                <c:pt idx="165">
                  <c:v>96.754349998683466</c:v>
                </c:pt>
                <c:pt idx="166">
                  <c:v>99.267450001023974</c:v>
                </c:pt>
                <c:pt idx="167">
                  <c:v>98.764829999093052</c:v>
                </c:pt>
                <c:pt idx="168">
                  <c:v>97.759590000716784</c:v>
                </c:pt>
                <c:pt idx="169">
                  <c:v>97.256970000614388</c:v>
                </c:pt>
                <c:pt idx="170">
                  <c:v>96.754350000511991</c:v>
                </c:pt>
                <c:pt idx="171">
                  <c:v>97.759589998888259</c:v>
                </c:pt>
                <c:pt idx="172">
                  <c:v>98.262210000819181</c:v>
                </c:pt>
                <c:pt idx="173">
                  <c:v>98.262209998990656</c:v>
                </c:pt>
                <c:pt idx="174">
                  <c:v>97.508279999751323</c:v>
                </c:pt>
                <c:pt idx="175">
                  <c:v>97.256970000614388</c:v>
                </c:pt>
                <c:pt idx="176">
                  <c:v>97.508279999751323</c:v>
                </c:pt>
                <c:pt idx="177">
                  <c:v>98.764830000921577</c:v>
                </c:pt>
                <c:pt idx="178">
                  <c:v>98.262209998990656</c:v>
                </c:pt>
                <c:pt idx="179">
                  <c:v>96.754350000511991</c:v>
                </c:pt>
                <c:pt idx="180">
                  <c:v>97.256970000614388</c:v>
                </c:pt>
                <c:pt idx="181">
                  <c:v>98.764829999093052</c:v>
                </c:pt>
                <c:pt idx="182">
                  <c:v>97.005659999648927</c:v>
                </c:pt>
                <c:pt idx="183">
                  <c:v>98.262210000819181</c:v>
                </c:pt>
                <c:pt idx="184">
                  <c:v>97.759590000716784</c:v>
                </c:pt>
                <c:pt idx="185">
                  <c:v>97.508279999751323</c:v>
                </c:pt>
                <c:pt idx="186">
                  <c:v>96.50303999954653</c:v>
                </c:pt>
                <c:pt idx="187">
                  <c:v>99.267449999195449</c:v>
                </c:pt>
                <c:pt idx="188">
                  <c:v>97.508279999751323</c:v>
                </c:pt>
                <c:pt idx="189">
                  <c:v>97.005659999648927</c:v>
                </c:pt>
                <c:pt idx="190">
                  <c:v>98.513519999956117</c:v>
                </c:pt>
                <c:pt idx="191">
                  <c:v>98.262209998990656</c:v>
                </c:pt>
                <c:pt idx="192">
                  <c:v>97.759589998888259</c:v>
                </c:pt>
                <c:pt idx="193">
                  <c:v>99.016140000058513</c:v>
                </c:pt>
                <c:pt idx="194">
                  <c:v>97.005659999648927</c:v>
                </c:pt>
                <c:pt idx="195">
                  <c:v>98.764830000921577</c:v>
                </c:pt>
                <c:pt idx="196">
                  <c:v>98.01089999985372</c:v>
                </c:pt>
                <c:pt idx="197">
                  <c:v>98.262210000819181</c:v>
                </c:pt>
                <c:pt idx="198">
                  <c:v>99.016140000058513</c:v>
                </c:pt>
                <c:pt idx="199">
                  <c:v>98.262209998990656</c:v>
                </c:pt>
                <c:pt idx="200">
                  <c:v>99.016140000058513</c:v>
                </c:pt>
                <c:pt idx="201">
                  <c:v>99.267449999195449</c:v>
                </c:pt>
                <c:pt idx="202">
                  <c:v>99.267449999195449</c:v>
                </c:pt>
                <c:pt idx="203">
                  <c:v>97.005659999648927</c:v>
                </c:pt>
                <c:pt idx="204">
                  <c:v>99.267450001023974</c:v>
                </c:pt>
                <c:pt idx="205">
                  <c:v>99.51876000016091</c:v>
                </c:pt>
                <c:pt idx="206">
                  <c:v>98.764829999093052</c:v>
                </c:pt>
                <c:pt idx="207">
                  <c:v>99.770069999297846</c:v>
                </c:pt>
                <c:pt idx="208">
                  <c:v>98.01089999985372</c:v>
                </c:pt>
                <c:pt idx="209">
                  <c:v>99.51876000016091</c:v>
                </c:pt>
                <c:pt idx="210">
                  <c:v>97.508279999751323</c:v>
                </c:pt>
                <c:pt idx="211">
                  <c:v>101.78054999970743</c:v>
                </c:pt>
                <c:pt idx="212">
                  <c:v>97.508279999751323</c:v>
                </c:pt>
                <c:pt idx="213">
                  <c:v>100.5240000003657</c:v>
                </c:pt>
                <c:pt idx="214">
                  <c:v>97.508280001579848</c:v>
                </c:pt>
                <c:pt idx="215">
                  <c:v>100.02138000026331</c:v>
                </c:pt>
                <c:pt idx="216">
                  <c:v>102.28316999980983</c:v>
                </c:pt>
                <c:pt idx="217">
                  <c:v>97.005660001477452</c:v>
                </c:pt>
                <c:pt idx="218">
                  <c:v>98.01089999985372</c:v>
                </c:pt>
                <c:pt idx="219">
                  <c:v>99.770069999297846</c:v>
                </c:pt>
                <c:pt idx="220">
                  <c:v>98.262209998990656</c:v>
                </c:pt>
                <c:pt idx="221">
                  <c:v>99.51876000016091</c:v>
                </c:pt>
                <c:pt idx="222">
                  <c:v>100.02138000026331</c:v>
                </c:pt>
                <c:pt idx="223">
                  <c:v>96.50303999954653</c:v>
                </c:pt>
                <c:pt idx="224">
                  <c:v>99.267449999195449</c:v>
                </c:pt>
                <c:pt idx="225">
                  <c:v>100.77530999950264</c:v>
                </c:pt>
                <c:pt idx="226">
                  <c:v>97.005659999648927</c:v>
                </c:pt>
                <c:pt idx="227">
                  <c:v>100.02137999843478</c:v>
                </c:pt>
                <c:pt idx="228">
                  <c:v>102.28316999980983</c:v>
                </c:pt>
                <c:pt idx="229">
                  <c:v>98.764829999093052</c:v>
                </c:pt>
                <c:pt idx="230">
                  <c:v>99.518759998332385</c:v>
                </c:pt>
                <c:pt idx="231">
                  <c:v>97.005659999648927</c:v>
                </c:pt>
                <c:pt idx="232">
                  <c:v>95.749110000307198</c:v>
                </c:pt>
                <c:pt idx="233">
                  <c:v>100.27269000122877</c:v>
                </c:pt>
                <c:pt idx="234">
                  <c:v>97.005659999648927</c:v>
                </c:pt>
                <c:pt idx="235">
                  <c:v>99.51876000016091</c:v>
                </c:pt>
                <c:pt idx="236">
                  <c:v>102.78578999991223</c:v>
                </c:pt>
                <c:pt idx="237">
                  <c:v>100.02138000026331</c:v>
                </c:pt>
                <c:pt idx="238">
                  <c:v>97.508279999751323</c:v>
                </c:pt>
                <c:pt idx="239">
                  <c:v>96.50303999954653</c:v>
                </c:pt>
                <c:pt idx="240">
                  <c:v>96.251730000409594</c:v>
                </c:pt>
                <c:pt idx="241">
                  <c:v>99.770070001126371</c:v>
                </c:pt>
                <c:pt idx="242">
                  <c:v>96.754350000511991</c:v>
                </c:pt>
                <c:pt idx="243">
                  <c:v>100.02137999843478</c:v>
                </c:pt>
                <c:pt idx="244">
                  <c:v>98.513519999956117</c:v>
                </c:pt>
                <c:pt idx="245">
                  <c:v>99.51876000016091</c:v>
                </c:pt>
                <c:pt idx="246">
                  <c:v>100.27269000122877</c:v>
                </c:pt>
                <c:pt idx="247">
                  <c:v>99.770070001126371</c:v>
                </c:pt>
                <c:pt idx="248">
                  <c:v>97.256969998785863</c:v>
                </c:pt>
                <c:pt idx="249">
                  <c:v>96.50303999954653</c:v>
                </c:pt>
                <c:pt idx="250">
                  <c:v>97.256970000614388</c:v>
                </c:pt>
                <c:pt idx="251">
                  <c:v>98.01089999985372</c:v>
                </c:pt>
                <c:pt idx="252">
                  <c:v>98.503699999647651</c:v>
                </c:pt>
                <c:pt idx="253">
                  <c:v>98.513519999956117</c:v>
                </c:pt>
                <c:pt idx="254">
                  <c:v>97.508279999751323</c:v>
                </c:pt>
                <c:pt idx="255">
                  <c:v>98.764829999093052</c:v>
                </c:pt>
                <c:pt idx="256">
                  <c:v>100.27268999940024</c:v>
                </c:pt>
                <c:pt idx="257">
                  <c:v>102.03186000067289</c:v>
                </c:pt>
                <c:pt idx="258">
                  <c:v>98.262209998990656</c:v>
                </c:pt>
                <c:pt idx="259">
                  <c:v>97.256970000614388</c:v>
                </c:pt>
                <c:pt idx="260">
                  <c:v>96.754350000511991</c:v>
                </c:pt>
                <c:pt idx="261">
                  <c:v>99.770070001126371</c:v>
                </c:pt>
                <c:pt idx="262">
                  <c:v>101.52923999874199</c:v>
                </c:pt>
                <c:pt idx="263">
                  <c:v>97.256969998785863</c:v>
                </c:pt>
                <c:pt idx="264">
                  <c:v>100.27268999940024</c:v>
                </c:pt>
                <c:pt idx="265">
                  <c:v>99.51876000016091</c:v>
                </c:pt>
                <c:pt idx="266">
                  <c:v>99.770070001126371</c:v>
                </c:pt>
                <c:pt idx="267">
                  <c:v>99.770069999297846</c:v>
                </c:pt>
                <c:pt idx="268">
                  <c:v>96.754349998683466</c:v>
                </c:pt>
                <c:pt idx="269">
                  <c:v>94.743870000102405</c:v>
                </c:pt>
                <c:pt idx="270">
                  <c:v>100.02138000026331</c:v>
                </c:pt>
                <c:pt idx="271">
                  <c:v>100.27269000122877</c:v>
                </c:pt>
                <c:pt idx="272">
                  <c:v>98.513519999956117</c:v>
                </c:pt>
                <c:pt idx="273">
                  <c:v>101.5292400005705</c:v>
                </c:pt>
                <c:pt idx="274">
                  <c:v>97.256970000614388</c:v>
                </c:pt>
                <c:pt idx="275">
                  <c:v>97.508279999751323</c:v>
                </c:pt>
                <c:pt idx="276">
                  <c:v>98.764830000921577</c:v>
                </c:pt>
                <c:pt idx="277">
                  <c:v>99.51876000016091</c:v>
                </c:pt>
                <c:pt idx="278">
                  <c:v>96.000419999444134</c:v>
                </c:pt>
                <c:pt idx="279">
                  <c:v>99.518759998332385</c:v>
                </c:pt>
                <c:pt idx="280">
                  <c:v>102.03186000067289</c:v>
                </c:pt>
                <c:pt idx="281">
                  <c:v>98.513519999956117</c:v>
                </c:pt>
                <c:pt idx="282">
                  <c:v>99.267449999195449</c:v>
                </c:pt>
                <c:pt idx="283">
                  <c:v>96.000419999444134</c:v>
                </c:pt>
                <c:pt idx="284">
                  <c:v>97.256970000614388</c:v>
                </c:pt>
                <c:pt idx="285">
                  <c:v>100.27268999940024</c:v>
                </c:pt>
                <c:pt idx="286">
                  <c:v>98.513519999956117</c:v>
                </c:pt>
                <c:pt idx="287">
                  <c:v>98.513519999956117</c:v>
                </c:pt>
                <c:pt idx="288">
                  <c:v>100.27269000122877</c:v>
                </c:pt>
                <c:pt idx="289">
                  <c:v>99.770069999297846</c:v>
                </c:pt>
                <c:pt idx="290">
                  <c:v>95.749109998478673</c:v>
                </c:pt>
                <c:pt idx="291">
                  <c:v>96.754350000511991</c:v>
                </c:pt>
                <c:pt idx="292">
                  <c:v>99.51876000016091</c:v>
                </c:pt>
                <c:pt idx="293">
                  <c:v>96.50303999954653</c:v>
                </c:pt>
                <c:pt idx="294">
                  <c:v>100.5240000003657</c:v>
                </c:pt>
                <c:pt idx="295">
                  <c:v>99.770069999297846</c:v>
                </c:pt>
                <c:pt idx="296">
                  <c:v>98.764830000921577</c:v>
                </c:pt>
                <c:pt idx="297">
                  <c:v>98.943939999737339</c:v>
                </c:pt>
                <c:pt idx="298">
                  <c:v>97.256970000614388</c:v>
                </c:pt>
                <c:pt idx="299">
                  <c:v>99.267449999195449</c:v>
                </c:pt>
                <c:pt idx="300">
                  <c:v>99.770069999297846</c:v>
                </c:pt>
                <c:pt idx="301">
                  <c:v>99.770070001126371</c:v>
                </c:pt>
                <c:pt idx="302">
                  <c:v>99.267449999195449</c:v>
                </c:pt>
                <c:pt idx="303">
                  <c:v>97.759590000716784</c:v>
                </c:pt>
                <c:pt idx="304">
                  <c:v>98.01089999985372</c:v>
                </c:pt>
                <c:pt idx="305">
                  <c:v>97.759589998888259</c:v>
                </c:pt>
                <c:pt idx="306">
                  <c:v>99.770069999297846</c:v>
                </c:pt>
                <c:pt idx="307">
                  <c:v>99.016140000058513</c:v>
                </c:pt>
                <c:pt idx="308">
                  <c:v>96.50303999954653</c:v>
                </c:pt>
                <c:pt idx="309">
                  <c:v>98.764829999093052</c:v>
                </c:pt>
                <c:pt idx="310">
                  <c:v>97.508279999751323</c:v>
                </c:pt>
                <c:pt idx="311">
                  <c:v>97.759590000716784</c:v>
                </c:pt>
                <c:pt idx="312">
                  <c:v>101.0266200004681</c:v>
                </c:pt>
                <c:pt idx="313">
                  <c:v>96.754350000511991</c:v>
                </c:pt>
                <c:pt idx="314">
                  <c:v>97.508279999751323</c:v>
                </c:pt>
                <c:pt idx="315">
                  <c:v>98.513519999956117</c:v>
                </c:pt>
                <c:pt idx="316">
                  <c:v>98.01089999985372</c:v>
                </c:pt>
                <c:pt idx="317">
                  <c:v>96.754349998683466</c:v>
                </c:pt>
                <c:pt idx="318">
                  <c:v>98.262209998990656</c:v>
                </c:pt>
                <c:pt idx="319">
                  <c:v>99.770070001126371</c:v>
                </c:pt>
                <c:pt idx="320">
                  <c:v>101.0266200004681</c:v>
                </c:pt>
                <c:pt idx="321">
                  <c:v>100.27269000122877</c:v>
                </c:pt>
                <c:pt idx="322">
                  <c:v>96.000419999444134</c:v>
                </c:pt>
                <c:pt idx="323">
                  <c:v>99.51876000016091</c:v>
                </c:pt>
                <c:pt idx="324">
                  <c:v>98.01089999985372</c:v>
                </c:pt>
                <c:pt idx="325">
                  <c:v>99.267449999195449</c:v>
                </c:pt>
                <c:pt idx="326">
                  <c:v>96.251730000409594</c:v>
                </c:pt>
                <c:pt idx="327">
                  <c:v>95.497800001170248</c:v>
                </c:pt>
                <c:pt idx="328">
                  <c:v>99.770070001126371</c:v>
                </c:pt>
                <c:pt idx="329">
                  <c:v>99.016140000058513</c:v>
                </c:pt>
                <c:pt idx="330">
                  <c:v>98.262209998990656</c:v>
                </c:pt>
                <c:pt idx="331">
                  <c:v>99.770069999297846</c:v>
                </c:pt>
                <c:pt idx="332">
                  <c:v>99.51876000016091</c:v>
                </c:pt>
                <c:pt idx="333">
                  <c:v>96.000419999444134</c:v>
                </c:pt>
                <c:pt idx="334">
                  <c:v>97.508279999751323</c:v>
                </c:pt>
                <c:pt idx="335">
                  <c:v>98.01089999985372</c:v>
                </c:pt>
                <c:pt idx="336">
                  <c:v>95.749109998478673</c:v>
                </c:pt>
                <c:pt idx="337">
                  <c:v>96.50303999954653</c:v>
                </c:pt>
                <c:pt idx="338">
                  <c:v>99.016140000058513</c:v>
                </c:pt>
                <c:pt idx="339">
                  <c:v>99.267449999195449</c:v>
                </c:pt>
                <c:pt idx="340">
                  <c:v>98.262209998990656</c:v>
                </c:pt>
                <c:pt idx="341">
                  <c:v>98.764829999093052</c:v>
                </c:pt>
                <c:pt idx="342">
                  <c:v>98.01089999985372</c:v>
                </c:pt>
                <c:pt idx="343">
                  <c:v>99.824419999916714</c:v>
                </c:pt>
                <c:pt idx="344">
                  <c:v>101.27792999960504</c:v>
                </c:pt>
                <c:pt idx="345">
                  <c:v>100.02138000026331</c:v>
                </c:pt>
                <c:pt idx="346">
                  <c:v>99.267449999195449</c:v>
                </c:pt>
                <c:pt idx="347">
                  <c:v>99.51876000016091</c:v>
                </c:pt>
                <c:pt idx="348">
                  <c:v>98.01089999985372</c:v>
                </c:pt>
                <c:pt idx="349">
                  <c:v>99.770069999297846</c:v>
                </c:pt>
                <c:pt idx="350">
                  <c:v>98.513519999956117</c:v>
                </c:pt>
                <c:pt idx="351">
                  <c:v>98.764830000921577</c:v>
                </c:pt>
                <c:pt idx="352">
                  <c:v>99.016140000058513</c:v>
                </c:pt>
                <c:pt idx="353">
                  <c:v>100.5240000003657</c:v>
                </c:pt>
                <c:pt idx="354">
                  <c:v>100.27268999940024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32-404B-A64E-EB09AD611CD1}"/>
            </c:ext>
          </c:extLst>
        </c:ser>
        <c:ser>
          <c:idx val="3"/>
          <c:order val="3"/>
          <c:tx>
            <c:v>Lawr T5 to T3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'Lawrence vs Stafford'!$Z$3:$Z$146</c:f>
              <c:numCache>
                <c:formatCode>General</c:formatCode>
                <c:ptCount val="144"/>
                <c:pt idx="0">
                  <c:v>127.15329000000364</c:v>
                </c:pt>
                <c:pt idx="1">
                  <c:v>127.40310000005454</c:v>
                </c:pt>
                <c:pt idx="2">
                  <c:v>122.40690000017267</c:v>
                </c:pt>
                <c:pt idx="3">
                  <c:v>127.40310000005454</c:v>
                </c:pt>
                <c:pt idx="4">
                  <c:v>125.1548100000509</c:v>
                </c:pt>
                <c:pt idx="5">
                  <c:v>124.905</c:v>
                </c:pt>
                <c:pt idx="6">
                  <c:v>127.40310000005454</c:v>
                </c:pt>
                <c:pt idx="7">
                  <c:v>127.65291000010542</c:v>
                </c:pt>
                <c:pt idx="8">
                  <c:v>125.1548099998237</c:v>
                </c:pt>
                <c:pt idx="9">
                  <c:v>127.15329000000364</c:v>
                </c:pt>
                <c:pt idx="10">
                  <c:v>124.6551900001763</c:v>
                </c:pt>
                <c:pt idx="11">
                  <c:v>127.90272000015632</c:v>
                </c:pt>
                <c:pt idx="12">
                  <c:v>127.40310000005454</c:v>
                </c:pt>
                <c:pt idx="13">
                  <c:v>127.40310000005454</c:v>
                </c:pt>
                <c:pt idx="14">
                  <c:v>124.40537999989822</c:v>
                </c:pt>
                <c:pt idx="15">
                  <c:v>127.40310000005454</c:v>
                </c:pt>
                <c:pt idx="16">
                  <c:v>127.65291000010542</c:v>
                </c:pt>
                <c:pt idx="17">
                  <c:v>127.15329000000364</c:v>
                </c:pt>
                <c:pt idx="18">
                  <c:v>127.15329000000364</c:v>
                </c:pt>
                <c:pt idx="19">
                  <c:v>127.15329000000364</c:v>
                </c:pt>
                <c:pt idx="20">
                  <c:v>124.6551899999491</c:v>
                </c:pt>
                <c:pt idx="21">
                  <c:v>127.15329000000364</c:v>
                </c:pt>
                <c:pt idx="22">
                  <c:v>125.1548100000509</c:v>
                </c:pt>
                <c:pt idx="23">
                  <c:v>124.905</c:v>
                </c:pt>
                <c:pt idx="24">
                  <c:v>127.65290999987822</c:v>
                </c:pt>
                <c:pt idx="25">
                  <c:v>127.15329000000364</c:v>
                </c:pt>
                <c:pt idx="26">
                  <c:v>127.40310000005454</c:v>
                </c:pt>
                <c:pt idx="27">
                  <c:v>127.40310000005454</c:v>
                </c:pt>
                <c:pt idx="28">
                  <c:v>124.905</c:v>
                </c:pt>
                <c:pt idx="29">
                  <c:v>127.65290999987822</c:v>
                </c:pt>
                <c:pt idx="30">
                  <c:v>127.40310000005454</c:v>
                </c:pt>
                <c:pt idx="31">
                  <c:v>127.40310000005454</c:v>
                </c:pt>
                <c:pt idx="32">
                  <c:v>127.15329000000364</c:v>
                </c:pt>
                <c:pt idx="33">
                  <c:v>127.65291000010542</c:v>
                </c:pt>
                <c:pt idx="34">
                  <c:v>124.905</c:v>
                </c:pt>
                <c:pt idx="35">
                  <c:v>127.15329000000364</c:v>
                </c:pt>
                <c:pt idx="36">
                  <c:v>127.40310000005454</c:v>
                </c:pt>
                <c:pt idx="37">
                  <c:v>127.40310000005454</c:v>
                </c:pt>
                <c:pt idx="38">
                  <c:v>126.65367000012905</c:v>
                </c:pt>
                <c:pt idx="39">
                  <c:v>124.6551900001763</c:v>
                </c:pt>
                <c:pt idx="40">
                  <c:v>124.905</c:v>
                </c:pt>
                <c:pt idx="41">
                  <c:v>127.40310000005454</c:v>
                </c:pt>
                <c:pt idx="42">
                  <c:v>127.90271999992912</c:v>
                </c:pt>
                <c:pt idx="43">
                  <c:v>125.1548100000509</c:v>
                </c:pt>
                <c:pt idx="44">
                  <c:v>125.1548099998237</c:v>
                </c:pt>
                <c:pt idx="45">
                  <c:v>127.40310000005454</c:v>
                </c:pt>
                <c:pt idx="46">
                  <c:v>124.905</c:v>
                </c:pt>
                <c:pt idx="47">
                  <c:v>127.65291000010542</c:v>
                </c:pt>
                <c:pt idx="48">
                  <c:v>127.65291000010542</c:v>
                </c:pt>
                <c:pt idx="49">
                  <c:v>124.905</c:v>
                </c:pt>
                <c:pt idx="50">
                  <c:v>127.40310000005454</c:v>
                </c:pt>
                <c:pt idx="51">
                  <c:v>127.15329000000364</c:v>
                </c:pt>
                <c:pt idx="52">
                  <c:v>124.905</c:v>
                </c:pt>
                <c:pt idx="53">
                  <c:v>127.40310000005454</c:v>
                </c:pt>
                <c:pt idx="54">
                  <c:v>122.40690000017267</c:v>
                </c:pt>
                <c:pt idx="55">
                  <c:v>124.905</c:v>
                </c:pt>
                <c:pt idx="56">
                  <c:v>127.15329000000364</c:v>
                </c:pt>
                <c:pt idx="57">
                  <c:v>127.40309999982733</c:v>
                </c:pt>
                <c:pt idx="58">
                  <c:v>124.6551899999491</c:v>
                </c:pt>
                <c:pt idx="59">
                  <c:v>124.905</c:v>
                </c:pt>
                <c:pt idx="60">
                  <c:v>124.6551900001763</c:v>
                </c:pt>
                <c:pt idx="61">
                  <c:v>124.905</c:v>
                </c:pt>
                <c:pt idx="62">
                  <c:v>120.15860999994183</c:v>
                </c:pt>
                <c:pt idx="63">
                  <c:v>127.40309999982733</c:v>
                </c:pt>
                <c:pt idx="64">
                  <c:v>124.905</c:v>
                </c:pt>
                <c:pt idx="65">
                  <c:v>127.15329000000364</c:v>
                </c:pt>
                <c:pt idx="66">
                  <c:v>127.15329000000364</c:v>
                </c:pt>
                <c:pt idx="67">
                  <c:v>119.65898999984005</c:v>
                </c:pt>
                <c:pt idx="68">
                  <c:v>127.15329000000364</c:v>
                </c:pt>
                <c:pt idx="69">
                  <c:v>127.90271999992912</c:v>
                </c:pt>
                <c:pt idx="70">
                  <c:v>127.15329000000364</c:v>
                </c:pt>
                <c:pt idx="71">
                  <c:v>127.15329000000364</c:v>
                </c:pt>
                <c:pt idx="72">
                  <c:v>127.15329000000364</c:v>
                </c:pt>
                <c:pt idx="73">
                  <c:v>124.40537999989822</c:v>
                </c:pt>
                <c:pt idx="74">
                  <c:v>124.6551900001763</c:v>
                </c:pt>
                <c:pt idx="75">
                  <c:v>127.40310000005454</c:v>
                </c:pt>
                <c:pt idx="76">
                  <c:v>125.40462000010179</c:v>
                </c:pt>
                <c:pt idx="77">
                  <c:v>124.905</c:v>
                </c:pt>
                <c:pt idx="78">
                  <c:v>127.15329000000364</c:v>
                </c:pt>
                <c:pt idx="79">
                  <c:v>124.905</c:v>
                </c:pt>
                <c:pt idx="80">
                  <c:v>127.40309999982733</c:v>
                </c:pt>
                <c:pt idx="81">
                  <c:v>127.15329000000364</c:v>
                </c:pt>
                <c:pt idx="82">
                  <c:v>127.15329000000364</c:v>
                </c:pt>
                <c:pt idx="83">
                  <c:v>127.40309999982733</c:v>
                </c:pt>
                <c:pt idx="84">
                  <c:v>127.15329000000364</c:v>
                </c:pt>
                <c:pt idx="85">
                  <c:v>124.905</c:v>
                </c:pt>
                <c:pt idx="86">
                  <c:v>124.905</c:v>
                </c:pt>
                <c:pt idx="87">
                  <c:v>127.15329000000364</c:v>
                </c:pt>
                <c:pt idx="88">
                  <c:v>127.40309999982733</c:v>
                </c:pt>
                <c:pt idx="89">
                  <c:v>127.65290999987822</c:v>
                </c:pt>
                <c:pt idx="90">
                  <c:v>127.65291000010542</c:v>
                </c:pt>
                <c:pt idx="91">
                  <c:v>122.15709000012178</c:v>
                </c:pt>
                <c:pt idx="92">
                  <c:v>125.1548099998237</c:v>
                </c:pt>
                <c:pt idx="93">
                  <c:v>127.40310000005454</c:v>
                </c:pt>
                <c:pt idx="94">
                  <c:v>127.15329000000364</c:v>
                </c:pt>
                <c:pt idx="95">
                  <c:v>127.65290999987822</c:v>
                </c:pt>
                <c:pt idx="96">
                  <c:v>125.1548099998237</c:v>
                </c:pt>
                <c:pt idx="97">
                  <c:v>127.40309999982733</c:v>
                </c:pt>
                <c:pt idx="98">
                  <c:v>124.40537999989822</c:v>
                </c:pt>
                <c:pt idx="99">
                  <c:v>127.15329000000364</c:v>
                </c:pt>
                <c:pt idx="100">
                  <c:v>124.905</c:v>
                </c:pt>
                <c:pt idx="101">
                  <c:v>126.90347999995274</c:v>
                </c:pt>
                <c:pt idx="102">
                  <c:v>127.15329000000364</c:v>
                </c:pt>
                <c:pt idx="103">
                  <c:v>124.6551899999491</c:v>
                </c:pt>
                <c:pt idx="104">
                  <c:v>127.40310000005454</c:v>
                </c:pt>
                <c:pt idx="105">
                  <c:v>124.905</c:v>
                </c:pt>
                <c:pt idx="106">
                  <c:v>125.1548099998237</c:v>
                </c:pt>
                <c:pt idx="107">
                  <c:v>127.65291000010542</c:v>
                </c:pt>
                <c:pt idx="108">
                  <c:v>125.1548100000509</c:v>
                </c:pt>
                <c:pt idx="109">
                  <c:v>127.40310000005454</c:v>
                </c:pt>
                <c:pt idx="110">
                  <c:v>126.90347999995274</c:v>
                </c:pt>
                <c:pt idx="111">
                  <c:v>124.905</c:v>
                </c:pt>
                <c:pt idx="112">
                  <c:v>126.65366999990185</c:v>
                </c:pt>
                <c:pt idx="113">
                  <c:v>127.15329000000364</c:v>
                </c:pt>
                <c:pt idx="114">
                  <c:v>127.40310000005454</c:v>
                </c:pt>
                <c:pt idx="115">
                  <c:v>127.15329000000364</c:v>
                </c:pt>
                <c:pt idx="116">
                  <c:v>125.1548100000509</c:v>
                </c:pt>
                <c:pt idx="117">
                  <c:v>119.90880000011815</c:v>
                </c:pt>
                <c:pt idx="118">
                  <c:v>124.40538000012542</c:v>
                </c:pt>
                <c:pt idx="119">
                  <c:v>124.15557000007452</c:v>
                </c:pt>
                <c:pt idx="120">
                  <c:v>126.65367000012905</c:v>
                </c:pt>
                <c:pt idx="121">
                  <c:v>127.40310000005454</c:v>
                </c:pt>
                <c:pt idx="122">
                  <c:v>125.1548099998237</c:v>
                </c:pt>
                <c:pt idx="123">
                  <c:v>127.40310000005454</c:v>
                </c:pt>
                <c:pt idx="124">
                  <c:v>124.905</c:v>
                </c:pt>
                <c:pt idx="125">
                  <c:v>127.65290999987822</c:v>
                </c:pt>
                <c:pt idx="126">
                  <c:v>127.40309999982733</c:v>
                </c:pt>
                <c:pt idx="127">
                  <c:v>124.6551900001763</c:v>
                </c:pt>
                <c:pt idx="128">
                  <c:v>127.65290999987822</c:v>
                </c:pt>
                <c:pt idx="129">
                  <c:v>124.15557000007452</c:v>
                </c:pt>
                <c:pt idx="130">
                  <c:v>127.40310000005454</c:v>
                </c:pt>
                <c:pt idx="131">
                  <c:v>124.905</c:v>
                </c:pt>
                <c:pt idx="132">
                  <c:v>127.65291000010542</c:v>
                </c:pt>
                <c:pt idx="133">
                  <c:v>127.65291000010542</c:v>
                </c:pt>
                <c:pt idx="134">
                  <c:v>127.15329000000364</c:v>
                </c:pt>
                <c:pt idx="135">
                  <c:v>127.90272000015632</c:v>
                </c:pt>
                <c:pt idx="136">
                  <c:v>126.90347999995274</c:v>
                </c:pt>
                <c:pt idx="137">
                  <c:v>127.65291000010542</c:v>
                </c:pt>
                <c:pt idx="138">
                  <c:v>127.15329000000364</c:v>
                </c:pt>
                <c:pt idx="139">
                  <c:v>124.15556999984732</c:v>
                </c:pt>
                <c:pt idx="140">
                  <c:v>124.905</c:v>
                </c:pt>
                <c:pt idx="141">
                  <c:v>127.65291000010542</c:v>
                </c:pt>
                <c:pt idx="142">
                  <c:v>127.40310000005454</c:v>
                </c:pt>
                <c:pt idx="143">
                  <c:v>124.6551899999491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32-404B-A64E-EB09AD611CD1}"/>
            </c:ext>
          </c:extLst>
        </c:ser>
        <c:ser>
          <c:idx val="4"/>
          <c:order val="4"/>
          <c:tx>
            <c:v>Lawr T3 to T2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'Lawrence vs Stafford'!$AB$3:$AB$146</c:f>
              <c:numCache>
                <c:formatCode>General</c:formatCode>
                <c:ptCount val="144"/>
                <c:pt idx="0">
                  <c:v>117.66051000011451</c:v>
                </c:pt>
                <c:pt idx="1">
                  <c:v>117.41069999983641</c:v>
                </c:pt>
                <c:pt idx="2">
                  <c:v>117.66050999988731</c:v>
                </c:pt>
                <c:pt idx="3">
                  <c:v>117.41069999983641</c:v>
                </c:pt>
                <c:pt idx="4">
                  <c:v>119.65899000006725</c:v>
                </c:pt>
                <c:pt idx="5">
                  <c:v>119.90879999989095</c:v>
                </c:pt>
                <c:pt idx="6">
                  <c:v>119.90879999989095</c:v>
                </c:pt>
                <c:pt idx="7">
                  <c:v>117.16089000001273</c:v>
                </c:pt>
                <c:pt idx="8">
                  <c:v>119.90880000011815</c:v>
                </c:pt>
                <c:pt idx="9">
                  <c:v>117.16089000001273</c:v>
                </c:pt>
                <c:pt idx="10">
                  <c:v>119.65898999984005</c:v>
                </c:pt>
                <c:pt idx="11">
                  <c:v>117.16089000001273</c:v>
                </c:pt>
                <c:pt idx="12">
                  <c:v>119.65899000006725</c:v>
                </c:pt>
                <c:pt idx="13">
                  <c:v>117.16089000001273</c:v>
                </c:pt>
                <c:pt idx="14">
                  <c:v>120.15861000016903</c:v>
                </c:pt>
                <c:pt idx="15">
                  <c:v>117.41069999983641</c:v>
                </c:pt>
                <c:pt idx="16">
                  <c:v>117.41070000006361</c:v>
                </c:pt>
                <c:pt idx="17">
                  <c:v>119.90880000011815</c:v>
                </c:pt>
                <c:pt idx="18">
                  <c:v>119.90880000011815</c:v>
                </c:pt>
                <c:pt idx="19">
                  <c:v>117.16089000001273</c:v>
                </c:pt>
                <c:pt idx="20">
                  <c:v>119.65899000006725</c:v>
                </c:pt>
                <c:pt idx="21">
                  <c:v>117.9103199999382</c:v>
                </c:pt>
                <c:pt idx="22">
                  <c:v>119.65898999984005</c:v>
                </c:pt>
                <c:pt idx="23">
                  <c:v>119.90879999989095</c:v>
                </c:pt>
                <c:pt idx="24">
                  <c:v>117.16089000001273</c:v>
                </c:pt>
                <c:pt idx="25">
                  <c:v>117.66051000011451</c:v>
                </c:pt>
                <c:pt idx="26">
                  <c:v>117.41070000006361</c:v>
                </c:pt>
                <c:pt idx="27">
                  <c:v>119.90879999989095</c:v>
                </c:pt>
                <c:pt idx="28">
                  <c:v>120.15861000016903</c:v>
                </c:pt>
                <c:pt idx="29">
                  <c:v>117.16089000001273</c:v>
                </c:pt>
                <c:pt idx="30">
                  <c:v>116.91107999996183</c:v>
                </c:pt>
                <c:pt idx="31">
                  <c:v>117.66050999988731</c:v>
                </c:pt>
                <c:pt idx="32">
                  <c:v>119.90880000011815</c:v>
                </c:pt>
                <c:pt idx="33">
                  <c:v>119.90879999989095</c:v>
                </c:pt>
                <c:pt idx="34">
                  <c:v>119.90879999989095</c:v>
                </c:pt>
                <c:pt idx="35">
                  <c:v>117.41070000006361</c:v>
                </c:pt>
                <c:pt idx="36">
                  <c:v>119.90879999989095</c:v>
                </c:pt>
                <c:pt idx="37">
                  <c:v>117.66050999988731</c:v>
                </c:pt>
                <c:pt idx="38">
                  <c:v>120.15860999994183</c:v>
                </c:pt>
                <c:pt idx="39">
                  <c:v>120.15860999994183</c:v>
                </c:pt>
                <c:pt idx="40">
                  <c:v>119.90879999989095</c:v>
                </c:pt>
                <c:pt idx="41">
                  <c:v>117.41070000006361</c:v>
                </c:pt>
                <c:pt idx="42">
                  <c:v>117.41070000006361</c:v>
                </c:pt>
                <c:pt idx="43">
                  <c:v>119.90879999989095</c:v>
                </c:pt>
                <c:pt idx="44">
                  <c:v>119.90880000011815</c:v>
                </c:pt>
                <c:pt idx="45">
                  <c:v>117.66051000011451</c:v>
                </c:pt>
                <c:pt idx="46">
                  <c:v>119.90880000011815</c:v>
                </c:pt>
                <c:pt idx="47">
                  <c:v>117.16089000001273</c:v>
                </c:pt>
                <c:pt idx="48">
                  <c:v>117.66050999988731</c:v>
                </c:pt>
                <c:pt idx="49">
                  <c:v>122.15708999989458</c:v>
                </c:pt>
                <c:pt idx="50">
                  <c:v>117.41069999983641</c:v>
                </c:pt>
                <c:pt idx="51">
                  <c:v>117.41070000006361</c:v>
                </c:pt>
                <c:pt idx="52">
                  <c:v>119.65899000006725</c:v>
                </c:pt>
                <c:pt idx="53">
                  <c:v>117.66050999988731</c:v>
                </c:pt>
                <c:pt idx="54">
                  <c:v>117.16088999978552</c:v>
                </c:pt>
                <c:pt idx="55">
                  <c:v>119.90879999989095</c:v>
                </c:pt>
                <c:pt idx="56">
                  <c:v>117.41070000006361</c:v>
                </c:pt>
                <c:pt idx="57">
                  <c:v>117.9103200001654</c:v>
                </c:pt>
                <c:pt idx="58">
                  <c:v>119.90880000011815</c:v>
                </c:pt>
                <c:pt idx="59">
                  <c:v>120.15860999994183</c:v>
                </c:pt>
                <c:pt idx="60">
                  <c:v>119.65898999984005</c:v>
                </c:pt>
                <c:pt idx="61">
                  <c:v>119.90880000011815</c:v>
                </c:pt>
                <c:pt idx="62">
                  <c:v>119.40918000001636</c:v>
                </c:pt>
                <c:pt idx="63">
                  <c:v>117.41070000006361</c:v>
                </c:pt>
                <c:pt idx="64">
                  <c:v>117.41070000006361</c:v>
                </c:pt>
                <c:pt idx="65">
                  <c:v>117.66051000011451</c:v>
                </c:pt>
                <c:pt idx="66">
                  <c:v>117.66051000011451</c:v>
                </c:pt>
                <c:pt idx="67">
                  <c:v>120.40841999999273</c:v>
                </c:pt>
                <c:pt idx="68">
                  <c:v>119.90880000011815</c:v>
                </c:pt>
                <c:pt idx="69">
                  <c:v>117.41070000006361</c:v>
                </c:pt>
                <c:pt idx="70">
                  <c:v>117.41069999983641</c:v>
                </c:pt>
                <c:pt idx="71">
                  <c:v>117.66051000011451</c:v>
                </c:pt>
                <c:pt idx="72">
                  <c:v>117.66050999988731</c:v>
                </c:pt>
                <c:pt idx="73">
                  <c:v>120.40841999999273</c:v>
                </c:pt>
                <c:pt idx="74">
                  <c:v>119.90879999989095</c:v>
                </c:pt>
                <c:pt idx="75">
                  <c:v>117.41069999983641</c:v>
                </c:pt>
                <c:pt idx="76">
                  <c:v>116.91107999996183</c:v>
                </c:pt>
                <c:pt idx="77">
                  <c:v>119.90879999989095</c:v>
                </c:pt>
                <c:pt idx="78">
                  <c:v>119.90880000011815</c:v>
                </c:pt>
                <c:pt idx="79">
                  <c:v>119.90879999989095</c:v>
                </c:pt>
                <c:pt idx="80">
                  <c:v>120.40841999999273</c:v>
                </c:pt>
                <c:pt idx="81">
                  <c:v>120.15860999994183</c:v>
                </c:pt>
                <c:pt idx="82">
                  <c:v>119.90879999989095</c:v>
                </c:pt>
                <c:pt idx="83">
                  <c:v>117.41070000006361</c:v>
                </c:pt>
                <c:pt idx="84">
                  <c:v>117.66051000011451</c:v>
                </c:pt>
                <c:pt idx="85">
                  <c:v>120.40841999999273</c:v>
                </c:pt>
                <c:pt idx="86">
                  <c:v>119.90879999989095</c:v>
                </c:pt>
                <c:pt idx="87">
                  <c:v>119.90879999989095</c:v>
                </c:pt>
                <c:pt idx="88">
                  <c:v>119.90880000011815</c:v>
                </c:pt>
                <c:pt idx="89">
                  <c:v>117.16089000001273</c:v>
                </c:pt>
                <c:pt idx="90">
                  <c:v>117.41070000006361</c:v>
                </c:pt>
                <c:pt idx="91">
                  <c:v>117.66050999988731</c:v>
                </c:pt>
                <c:pt idx="92">
                  <c:v>119.40918000001636</c:v>
                </c:pt>
                <c:pt idx="93">
                  <c:v>117.41070000006361</c:v>
                </c:pt>
                <c:pt idx="94">
                  <c:v>119.65899000006725</c:v>
                </c:pt>
                <c:pt idx="95">
                  <c:v>117.41070000006361</c:v>
                </c:pt>
                <c:pt idx="96">
                  <c:v>119.65899000006725</c:v>
                </c:pt>
                <c:pt idx="97">
                  <c:v>117.41070000006361</c:v>
                </c:pt>
                <c:pt idx="98">
                  <c:v>117.16089000001273</c:v>
                </c:pt>
                <c:pt idx="99">
                  <c:v>120.15860999994183</c:v>
                </c:pt>
                <c:pt idx="100">
                  <c:v>119.65899000006725</c:v>
                </c:pt>
                <c:pt idx="101">
                  <c:v>117.41070000006361</c:v>
                </c:pt>
                <c:pt idx="102">
                  <c:v>117.41069999983641</c:v>
                </c:pt>
                <c:pt idx="103">
                  <c:v>119.90879999989095</c:v>
                </c:pt>
                <c:pt idx="104">
                  <c:v>117.41070000006361</c:v>
                </c:pt>
                <c:pt idx="105">
                  <c:v>119.90879999989095</c:v>
                </c:pt>
                <c:pt idx="106">
                  <c:v>119.65899000006725</c:v>
                </c:pt>
                <c:pt idx="107">
                  <c:v>117.16089000001273</c:v>
                </c:pt>
                <c:pt idx="108">
                  <c:v>119.15936999996546</c:v>
                </c:pt>
                <c:pt idx="109">
                  <c:v>119.65898999984005</c:v>
                </c:pt>
                <c:pt idx="110">
                  <c:v>120.15860999994183</c:v>
                </c:pt>
                <c:pt idx="111">
                  <c:v>119.90879999989095</c:v>
                </c:pt>
                <c:pt idx="112">
                  <c:v>119.90880000011815</c:v>
                </c:pt>
                <c:pt idx="113">
                  <c:v>117.41069999983641</c:v>
                </c:pt>
                <c:pt idx="114">
                  <c:v>117.41070000006361</c:v>
                </c:pt>
                <c:pt idx="115">
                  <c:v>120.40841999999273</c:v>
                </c:pt>
                <c:pt idx="116">
                  <c:v>119.65898999984005</c:v>
                </c:pt>
                <c:pt idx="117">
                  <c:v>119.90879999989095</c:v>
                </c:pt>
                <c:pt idx="118">
                  <c:v>120.15860999994183</c:v>
                </c:pt>
                <c:pt idx="119">
                  <c:v>120.40841999999273</c:v>
                </c:pt>
                <c:pt idx="120">
                  <c:v>117.66050999988731</c:v>
                </c:pt>
                <c:pt idx="121">
                  <c:v>119.90879999989095</c:v>
                </c:pt>
                <c:pt idx="122">
                  <c:v>119.65899000006725</c:v>
                </c:pt>
                <c:pt idx="123">
                  <c:v>119.90879999989095</c:v>
                </c:pt>
                <c:pt idx="124">
                  <c:v>120.15860999994183</c:v>
                </c:pt>
                <c:pt idx="125">
                  <c:v>117.66051000011451</c:v>
                </c:pt>
                <c:pt idx="126">
                  <c:v>119.90880000011815</c:v>
                </c:pt>
                <c:pt idx="127">
                  <c:v>119.90879999989095</c:v>
                </c:pt>
                <c:pt idx="128">
                  <c:v>119.90880000011815</c:v>
                </c:pt>
                <c:pt idx="129">
                  <c:v>120.15860999994183</c:v>
                </c:pt>
                <c:pt idx="130">
                  <c:v>117.41070000006361</c:v>
                </c:pt>
                <c:pt idx="131">
                  <c:v>119.40918000001636</c:v>
                </c:pt>
                <c:pt idx="132">
                  <c:v>117.41070000006361</c:v>
                </c:pt>
                <c:pt idx="133">
                  <c:v>119.65899000006725</c:v>
                </c:pt>
                <c:pt idx="134">
                  <c:v>119.90880000011815</c:v>
                </c:pt>
                <c:pt idx="135">
                  <c:v>116.91107999996183</c:v>
                </c:pt>
                <c:pt idx="136">
                  <c:v>120.15860999994183</c:v>
                </c:pt>
                <c:pt idx="137">
                  <c:v>117.41070000006361</c:v>
                </c:pt>
                <c:pt idx="138">
                  <c:v>119.90880000011815</c:v>
                </c:pt>
                <c:pt idx="139">
                  <c:v>119.90880000011815</c:v>
                </c:pt>
                <c:pt idx="140">
                  <c:v>119.90880000011815</c:v>
                </c:pt>
                <c:pt idx="141">
                  <c:v>117.41069999983641</c:v>
                </c:pt>
                <c:pt idx="142">
                  <c:v>117.66050999988731</c:v>
                </c:pt>
                <c:pt idx="143">
                  <c:v>120.40842000021993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32-404B-A64E-EB09AD611CD1}"/>
            </c:ext>
          </c:extLst>
        </c:ser>
        <c:ser>
          <c:idx val="5"/>
          <c:order val="5"/>
          <c:tx>
            <c:v>Lawr T2 to AltS1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'Lawrence vs Stafford'!$AD$3:$AD$146</c:f>
              <c:numCache>
                <c:formatCode>General</c:formatCode>
                <c:ptCount val="144"/>
                <c:pt idx="0">
                  <c:v>100.17380999996001</c:v>
                </c:pt>
                <c:pt idx="1">
                  <c:v>98.924760000159949</c:v>
                </c:pt>
                <c:pt idx="2">
                  <c:v>99.424380000034532</c:v>
                </c:pt>
                <c:pt idx="3">
                  <c:v>99.674190000085432</c:v>
                </c:pt>
                <c:pt idx="4">
                  <c:v>98.674949999881861</c:v>
                </c:pt>
                <c:pt idx="5">
                  <c:v>98.425140000058164</c:v>
                </c:pt>
                <c:pt idx="6">
                  <c:v>97.925519999956379</c:v>
                </c:pt>
                <c:pt idx="7">
                  <c:v>99.674189999858228</c:v>
                </c:pt>
                <c:pt idx="8">
                  <c:v>98.924759999932746</c:v>
                </c:pt>
                <c:pt idx="9">
                  <c:v>98.425140000058164</c:v>
                </c:pt>
                <c:pt idx="10">
                  <c:v>98.175330000007278</c:v>
                </c:pt>
                <c:pt idx="11">
                  <c:v>98.175330000007278</c:v>
                </c:pt>
                <c:pt idx="12">
                  <c:v>97.675709999905479</c:v>
                </c:pt>
                <c:pt idx="13">
                  <c:v>98.674950000109064</c:v>
                </c:pt>
                <c:pt idx="14">
                  <c:v>97.925519999956379</c:v>
                </c:pt>
                <c:pt idx="15">
                  <c:v>98.924760000159949</c:v>
                </c:pt>
                <c:pt idx="16">
                  <c:v>100.42362000001091</c:v>
                </c:pt>
                <c:pt idx="17">
                  <c:v>97.176090000030896</c:v>
                </c:pt>
                <c:pt idx="18">
                  <c:v>98.175330000007278</c:v>
                </c:pt>
                <c:pt idx="19">
                  <c:v>99.674189999858228</c:v>
                </c:pt>
                <c:pt idx="20">
                  <c:v>99.674190000085432</c:v>
                </c:pt>
                <c:pt idx="21">
                  <c:v>98.924759999932746</c:v>
                </c:pt>
                <c:pt idx="22">
                  <c:v>97.925520000183582</c:v>
                </c:pt>
                <c:pt idx="23">
                  <c:v>99.424380000034532</c:v>
                </c:pt>
                <c:pt idx="24">
                  <c:v>98.924760000159949</c:v>
                </c:pt>
                <c:pt idx="25">
                  <c:v>99.424380000034532</c:v>
                </c:pt>
                <c:pt idx="26">
                  <c:v>100.17380999996001</c:v>
                </c:pt>
                <c:pt idx="27">
                  <c:v>97.176090000030896</c:v>
                </c:pt>
                <c:pt idx="28">
                  <c:v>97.176089999803693</c:v>
                </c:pt>
                <c:pt idx="29">
                  <c:v>99.174569999983646</c:v>
                </c:pt>
                <c:pt idx="30">
                  <c:v>99.674190000085432</c:v>
                </c:pt>
                <c:pt idx="31">
                  <c:v>98.175330000007278</c:v>
                </c:pt>
                <c:pt idx="32">
                  <c:v>98.924759999932746</c:v>
                </c:pt>
                <c:pt idx="33">
                  <c:v>98.924759999932746</c:v>
                </c:pt>
                <c:pt idx="34">
                  <c:v>97.925519999956379</c:v>
                </c:pt>
                <c:pt idx="35">
                  <c:v>99.424380000034532</c:v>
                </c:pt>
                <c:pt idx="36">
                  <c:v>97.675710000132682</c:v>
                </c:pt>
                <c:pt idx="37">
                  <c:v>98.674950000109064</c:v>
                </c:pt>
                <c:pt idx="38">
                  <c:v>98.425140000058164</c:v>
                </c:pt>
                <c:pt idx="39">
                  <c:v>99.174569999983646</c:v>
                </c:pt>
                <c:pt idx="40">
                  <c:v>97.675710000132682</c:v>
                </c:pt>
                <c:pt idx="41">
                  <c:v>99.174569999983646</c:v>
                </c:pt>
                <c:pt idx="42">
                  <c:v>99.674189999858228</c:v>
                </c:pt>
                <c:pt idx="43">
                  <c:v>98.425140000058164</c:v>
                </c:pt>
                <c:pt idx="44">
                  <c:v>98.674949999881861</c:v>
                </c:pt>
                <c:pt idx="45">
                  <c:v>99.174569999983646</c:v>
                </c:pt>
                <c:pt idx="46">
                  <c:v>97.925519999956379</c:v>
                </c:pt>
                <c:pt idx="47">
                  <c:v>98.175330000007278</c:v>
                </c:pt>
                <c:pt idx="48">
                  <c:v>98.425140000058164</c:v>
                </c:pt>
                <c:pt idx="49">
                  <c:v>94.677989999976376</c:v>
                </c:pt>
                <c:pt idx="50">
                  <c:v>99.424380000034532</c:v>
                </c:pt>
                <c:pt idx="51">
                  <c:v>99.424380000034532</c:v>
                </c:pt>
                <c:pt idx="52">
                  <c:v>98.674949999881861</c:v>
                </c:pt>
                <c:pt idx="53">
                  <c:v>98.425140000058164</c:v>
                </c:pt>
                <c:pt idx="54">
                  <c:v>98.924760000159949</c:v>
                </c:pt>
                <c:pt idx="55">
                  <c:v>97.425900000081796</c:v>
                </c:pt>
                <c:pt idx="56">
                  <c:v>100.6734299998346</c:v>
                </c:pt>
                <c:pt idx="57">
                  <c:v>98.425139999830961</c:v>
                </c:pt>
                <c:pt idx="58">
                  <c:v>98.924759999932746</c:v>
                </c:pt>
                <c:pt idx="59">
                  <c:v>97.925520000183582</c:v>
                </c:pt>
                <c:pt idx="60">
                  <c:v>98.924760000159949</c:v>
                </c:pt>
                <c:pt idx="61">
                  <c:v>98.674949999881861</c:v>
                </c:pt>
                <c:pt idx="62">
                  <c:v>97.925519999956379</c:v>
                </c:pt>
                <c:pt idx="63">
                  <c:v>99.923999999909114</c:v>
                </c:pt>
                <c:pt idx="64">
                  <c:v>99.674190000085432</c:v>
                </c:pt>
                <c:pt idx="65">
                  <c:v>98.674949999881861</c:v>
                </c:pt>
                <c:pt idx="66">
                  <c:v>99.674189999858228</c:v>
                </c:pt>
                <c:pt idx="67">
                  <c:v>98.425140000058164</c:v>
                </c:pt>
                <c:pt idx="68">
                  <c:v>97.675709999905479</c:v>
                </c:pt>
                <c:pt idx="69">
                  <c:v>99.424380000034532</c:v>
                </c:pt>
                <c:pt idx="70">
                  <c:v>99.924000000136317</c:v>
                </c:pt>
                <c:pt idx="71">
                  <c:v>98.674949999881861</c:v>
                </c:pt>
                <c:pt idx="72">
                  <c:v>99.424380000034532</c:v>
                </c:pt>
                <c:pt idx="73">
                  <c:v>98.175330000007278</c:v>
                </c:pt>
                <c:pt idx="74">
                  <c:v>98.425140000058164</c:v>
                </c:pt>
                <c:pt idx="75">
                  <c:v>97.925519999956379</c:v>
                </c:pt>
                <c:pt idx="76">
                  <c:v>100.17380999996001</c:v>
                </c:pt>
                <c:pt idx="77">
                  <c:v>98.674950000109064</c:v>
                </c:pt>
                <c:pt idx="78">
                  <c:v>98.175330000007278</c:v>
                </c:pt>
                <c:pt idx="79">
                  <c:v>97.925519999956379</c:v>
                </c:pt>
                <c:pt idx="80">
                  <c:v>97.176090000030896</c:v>
                </c:pt>
                <c:pt idx="81">
                  <c:v>98.674950000109064</c:v>
                </c:pt>
                <c:pt idx="82">
                  <c:v>97.925519999956379</c:v>
                </c:pt>
                <c:pt idx="83">
                  <c:v>99.424380000034532</c:v>
                </c:pt>
                <c:pt idx="84">
                  <c:v>98.425140000058164</c:v>
                </c:pt>
                <c:pt idx="85">
                  <c:v>97.176090000030896</c:v>
                </c:pt>
                <c:pt idx="86">
                  <c:v>97.425900000081796</c:v>
                </c:pt>
                <c:pt idx="87">
                  <c:v>98.924760000159949</c:v>
                </c:pt>
                <c:pt idx="88">
                  <c:v>98.674949999881861</c:v>
                </c:pt>
                <c:pt idx="89">
                  <c:v>98.425140000058164</c:v>
                </c:pt>
                <c:pt idx="90">
                  <c:v>99.674189999858228</c:v>
                </c:pt>
                <c:pt idx="91">
                  <c:v>98.175330000007278</c:v>
                </c:pt>
                <c:pt idx="92">
                  <c:v>98.175330000007278</c:v>
                </c:pt>
                <c:pt idx="93">
                  <c:v>99.174569999983646</c:v>
                </c:pt>
                <c:pt idx="94">
                  <c:v>98.674949999881861</c:v>
                </c:pt>
                <c:pt idx="95">
                  <c:v>99.923999999909114</c:v>
                </c:pt>
                <c:pt idx="96">
                  <c:v>98.674950000109064</c:v>
                </c:pt>
                <c:pt idx="97">
                  <c:v>99.424380000034532</c:v>
                </c:pt>
                <c:pt idx="98">
                  <c:v>100.6734300000618</c:v>
                </c:pt>
                <c:pt idx="99">
                  <c:v>98.175330000007278</c:v>
                </c:pt>
                <c:pt idx="100">
                  <c:v>97.425900000081796</c:v>
                </c:pt>
                <c:pt idx="101">
                  <c:v>99.424380000034532</c:v>
                </c:pt>
                <c:pt idx="102">
                  <c:v>98.924760000159949</c:v>
                </c:pt>
                <c:pt idx="103">
                  <c:v>97.925520000183582</c:v>
                </c:pt>
                <c:pt idx="104">
                  <c:v>99.923999999909114</c:v>
                </c:pt>
                <c:pt idx="105">
                  <c:v>98.674950000109064</c:v>
                </c:pt>
                <c:pt idx="106">
                  <c:v>98.674950000109064</c:v>
                </c:pt>
                <c:pt idx="107">
                  <c:v>98.425140000058164</c:v>
                </c:pt>
                <c:pt idx="108">
                  <c:v>98.425140000058164</c:v>
                </c:pt>
                <c:pt idx="109">
                  <c:v>98.425140000058164</c:v>
                </c:pt>
                <c:pt idx="110">
                  <c:v>98.175330000007278</c:v>
                </c:pt>
                <c:pt idx="111">
                  <c:v>98.674950000109064</c:v>
                </c:pt>
                <c:pt idx="112">
                  <c:v>98.425139999830961</c:v>
                </c:pt>
                <c:pt idx="113">
                  <c:v>99.174570000210849</c:v>
                </c:pt>
                <c:pt idx="114">
                  <c:v>99.424380000034532</c:v>
                </c:pt>
                <c:pt idx="115">
                  <c:v>98.674950000109064</c:v>
                </c:pt>
                <c:pt idx="116">
                  <c:v>97.425900000081796</c:v>
                </c:pt>
                <c:pt idx="117">
                  <c:v>98.924759999932746</c:v>
                </c:pt>
                <c:pt idx="118">
                  <c:v>98.425140000058164</c:v>
                </c:pt>
                <c:pt idx="119">
                  <c:v>97.675709999905479</c:v>
                </c:pt>
                <c:pt idx="120">
                  <c:v>99.674190000085432</c:v>
                </c:pt>
                <c:pt idx="121">
                  <c:v>97.925520000183582</c:v>
                </c:pt>
                <c:pt idx="122">
                  <c:v>97.925519999956379</c:v>
                </c:pt>
                <c:pt idx="123">
                  <c:v>98.425140000058164</c:v>
                </c:pt>
                <c:pt idx="124">
                  <c:v>97.925519999956379</c:v>
                </c:pt>
                <c:pt idx="125">
                  <c:v>98.674949999881861</c:v>
                </c:pt>
                <c:pt idx="126">
                  <c:v>97.675709999905479</c:v>
                </c:pt>
                <c:pt idx="127">
                  <c:v>99.174569999983646</c:v>
                </c:pt>
                <c:pt idx="128">
                  <c:v>97.925519999956379</c:v>
                </c:pt>
                <c:pt idx="129">
                  <c:v>98.674950000109064</c:v>
                </c:pt>
                <c:pt idx="130">
                  <c:v>99.923999999909114</c:v>
                </c:pt>
                <c:pt idx="131">
                  <c:v>98.175330000007278</c:v>
                </c:pt>
                <c:pt idx="132">
                  <c:v>99.923999999909114</c:v>
                </c:pt>
                <c:pt idx="133">
                  <c:v>97.675709999905479</c:v>
                </c:pt>
                <c:pt idx="134">
                  <c:v>98.674949999881861</c:v>
                </c:pt>
                <c:pt idx="135">
                  <c:v>99.174569999983646</c:v>
                </c:pt>
                <c:pt idx="136">
                  <c:v>97.925519999956379</c:v>
                </c:pt>
                <c:pt idx="137">
                  <c:v>97.925519999956379</c:v>
                </c:pt>
                <c:pt idx="138">
                  <c:v>98.674949999881861</c:v>
                </c:pt>
                <c:pt idx="139">
                  <c:v>98.425140000058164</c:v>
                </c:pt>
                <c:pt idx="140">
                  <c:v>98.924759999932746</c:v>
                </c:pt>
                <c:pt idx="141">
                  <c:v>99.174570000210849</c:v>
                </c:pt>
                <c:pt idx="142">
                  <c:v>99.674190000085432</c:v>
                </c:pt>
                <c:pt idx="143">
                  <c:v>98.175329999780075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32-404B-A64E-EB09AD611CD1}"/>
            </c:ext>
          </c:extLst>
        </c:ser>
        <c:ser>
          <c:idx val="6"/>
          <c:order val="6"/>
          <c:tx>
            <c:v>Staf Pick to T5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'Lawrence vs Stafford'!$H$14:$H$357</c:f>
              <c:numCache>
                <c:formatCode>General</c:formatCode>
                <c:ptCount val="344"/>
                <c:pt idx="0">
                  <c:v>111.58164000078992</c:v>
                </c:pt>
                <c:pt idx="1">
                  <c:v>109.31985000032914</c:v>
                </c:pt>
                <c:pt idx="2">
                  <c:v>108.81723000022674</c:v>
                </c:pt>
                <c:pt idx="3">
                  <c:v>109.06853999936368</c:v>
                </c:pt>
                <c:pt idx="4">
                  <c:v>112.5868799991662</c:v>
                </c:pt>
                <c:pt idx="5">
                  <c:v>110.57639999967087</c:v>
                </c:pt>
                <c:pt idx="6">
                  <c:v>113.34080999931979</c:v>
                </c:pt>
                <c:pt idx="7">
                  <c:v>111.58163999987566</c:v>
                </c:pt>
                <c:pt idx="8">
                  <c:v>110.32508999961966</c:v>
                </c:pt>
                <c:pt idx="9">
                  <c:v>120.12617999978789</c:v>
                </c:pt>
                <c:pt idx="10">
                  <c:v>118.11570000029256</c:v>
                </c:pt>
                <c:pt idx="11">
                  <c:v>111.83294999992685</c:v>
                </c:pt>
                <c:pt idx="12">
                  <c:v>111.83294999992685</c:v>
                </c:pt>
                <c:pt idx="13">
                  <c:v>113.34081000023406</c:v>
                </c:pt>
                <c:pt idx="14">
                  <c:v>118.86963000044616</c:v>
                </c:pt>
                <c:pt idx="15">
                  <c:v>112.08425999997806</c:v>
                </c:pt>
                <c:pt idx="16">
                  <c:v>110.07378000048273</c:v>
                </c:pt>
                <c:pt idx="17">
                  <c:v>115.09998000059244</c:v>
                </c:pt>
                <c:pt idx="18">
                  <c:v>115.85391000074604</c:v>
                </c:pt>
                <c:pt idx="19">
                  <c:v>111.83295000084112</c:v>
                </c:pt>
                <c:pt idx="20">
                  <c:v>112.83818999921739</c:v>
                </c:pt>
                <c:pt idx="21">
                  <c:v>113.34080999931979</c:v>
                </c:pt>
                <c:pt idx="22">
                  <c:v>111.58163999987566</c:v>
                </c:pt>
                <c:pt idx="23">
                  <c:v>109.82246999951727</c:v>
                </c:pt>
                <c:pt idx="24">
                  <c:v>109.31985000032914</c:v>
                </c:pt>
                <c:pt idx="25">
                  <c:v>112.58688000008046</c:v>
                </c:pt>
                <c:pt idx="26">
                  <c:v>113.34081000023406</c:v>
                </c:pt>
                <c:pt idx="27">
                  <c:v>112.08425999997806</c:v>
                </c:pt>
                <c:pt idx="28">
                  <c:v>114.84866999962698</c:v>
                </c:pt>
                <c:pt idx="29">
                  <c:v>115.09997999967818</c:v>
                </c:pt>
                <c:pt idx="30">
                  <c:v>113.59211999937099</c:v>
                </c:pt>
                <c:pt idx="31">
                  <c:v>113.59211999937099</c:v>
                </c:pt>
                <c:pt idx="32">
                  <c:v>117.11046000008777</c:v>
                </c:pt>
                <c:pt idx="33">
                  <c:v>114.59735999957579</c:v>
                </c:pt>
                <c:pt idx="34">
                  <c:v>113.08950000018285</c:v>
                </c:pt>
                <c:pt idx="35">
                  <c:v>112.83819000013166</c:v>
                </c:pt>
                <c:pt idx="36">
                  <c:v>110.07377999956847</c:v>
                </c:pt>
                <c:pt idx="37">
                  <c:v>109.06854000027793</c:v>
                </c:pt>
                <c:pt idx="38">
                  <c:v>109.06854000027793</c:v>
                </c:pt>
                <c:pt idx="39">
                  <c:v>112.58688000008046</c:v>
                </c:pt>
                <c:pt idx="40">
                  <c:v>112.83819000013166</c:v>
                </c:pt>
                <c:pt idx="41">
                  <c:v>111.33032999982446</c:v>
                </c:pt>
                <c:pt idx="42">
                  <c:v>112.33557000002926</c:v>
                </c:pt>
                <c:pt idx="43">
                  <c:v>114.84867000054125</c:v>
                </c:pt>
                <c:pt idx="44">
                  <c:v>112.33557000002926</c:v>
                </c:pt>
                <c:pt idx="45">
                  <c:v>112.08425999997806</c:v>
                </c:pt>
                <c:pt idx="46">
                  <c:v>116.10521999988298</c:v>
                </c:pt>
                <c:pt idx="47">
                  <c:v>111.83294999992685</c:v>
                </c:pt>
                <c:pt idx="48">
                  <c:v>112.08425999997806</c:v>
                </c:pt>
                <c:pt idx="49">
                  <c:v>112.58688000008046</c:v>
                </c:pt>
                <c:pt idx="50">
                  <c:v>115.85391000074604</c:v>
                </c:pt>
                <c:pt idx="51">
                  <c:v>111.83294999992685</c:v>
                </c:pt>
                <c:pt idx="52">
                  <c:v>111.58163999987566</c:v>
                </c:pt>
                <c:pt idx="53">
                  <c:v>115.09998000059244</c:v>
                </c:pt>
                <c:pt idx="54">
                  <c:v>113.08950000018285</c:v>
                </c:pt>
                <c:pt idx="55">
                  <c:v>111.58163999987566</c:v>
                </c:pt>
                <c:pt idx="56">
                  <c:v>112.33557000002926</c:v>
                </c:pt>
                <c:pt idx="57">
                  <c:v>112.83818999921739</c:v>
                </c:pt>
                <c:pt idx="58">
                  <c:v>111.07901999977327</c:v>
                </c:pt>
                <c:pt idx="59">
                  <c:v>110.32508999961966</c:v>
                </c:pt>
                <c:pt idx="60">
                  <c:v>110.07377999956847</c:v>
                </c:pt>
                <c:pt idx="61">
                  <c:v>109.57116000038033</c:v>
                </c:pt>
                <c:pt idx="62">
                  <c:v>112.83819000013166</c:v>
                </c:pt>
                <c:pt idx="63">
                  <c:v>111.58163999987566</c:v>
                </c:pt>
                <c:pt idx="64">
                  <c:v>112.58688000008046</c:v>
                </c:pt>
                <c:pt idx="65">
                  <c:v>112.83819000013166</c:v>
                </c:pt>
                <c:pt idx="66">
                  <c:v>108.81723000022674</c:v>
                </c:pt>
                <c:pt idx="67">
                  <c:v>114.84867000054125</c:v>
                </c:pt>
                <c:pt idx="68">
                  <c:v>118.11569999937831</c:v>
                </c:pt>
                <c:pt idx="69">
                  <c:v>113.84342999942218</c:v>
                </c:pt>
                <c:pt idx="70">
                  <c:v>109.06853999936368</c:v>
                </c:pt>
                <c:pt idx="71">
                  <c:v>108.81722999931247</c:v>
                </c:pt>
                <c:pt idx="72">
                  <c:v>111.83294999992685</c:v>
                </c:pt>
                <c:pt idx="73">
                  <c:v>110.57639999967087</c:v>
                </c:pt>
                <c:pt idx="74">
                  <c:v>108.81723000022674</c:v>
                </c:pt>
                <c:pt idx="75">
                  <c:v>115.09997999967818</c:v>
                </c:pt>
                <c:pt idx="76">
                  <c:v>112.83819000013166</c:v>
                </c:pt>
                <c:pt idx="77">
                  <c:v>113.08950000018285</c:v>
                </c:pt>
                <c:pt idx="78">
                  <c:v>109.57116000038033</c:v>
                </c:pt>
                <c:pt idx="79">
                  <c:v>117.11046000008777</c:v>
                </c:pt>
                <c:pt idx="80">
                  <c:v>112.08425999997806</c:v>
                </c:pt>
                <c:pt idx="81">
                  <c:v>112.58688000008046</c:v>
                </c:pt>
                <c:pt idx="82">
                  <c:v>112.83819000013166</c:v>
                </c:pt>
                <c:pt idx="83">
                  <c:v>113.08950000018285</c:v>
                </c:pt>
                <c:pt idx="84">
                  <c:v>111.58163999987566</c:v>
                </c:pt>
                <c:pt idx="85">
                  <c:v>112.08425999997806</c:v>
                </c:pt>
                <c:pt idx="86">
                  <c:v>110.57640000058512</c:v>
                </c:pt>
                <c:pt idx="87">
                  <c:v>115.85391000074604</c:v>
                </c:pt>
                <c:pt idx="88">
                  <c:v>111.83294999992685</c:v>
                </c:pt>
                <c:pt idx="89">
                  <c:v>112.58688000008046</c:v>
                </c:pt>
                <c:pt idx="90">
                  <c:v>113.34081000023406</c:v>
                </c:pt>
                <c:pt idx="91">
                  <c:v>113.59211999937099</c:v>
                </c:pt>
                <c:pt idx="92">
                  <c:v>112.58688000008046</c:v>
                </c:pt>
                <c:pt idx="93">
                  <c:v>112.58688000008046</c:v>
                </c:pt>
                <c:pt idx="94">
                  <c:v>110.82771000063633</c:v>
                </c:pt>
                <c:pt idx="95">
                  <c:v>110.07378000048273</c:v>
                </c:pt>
                <c:pt idx="96">
                  <c:v>113.59212000028525</c:v>
                </c:pt>
                <c:pt idx="97">
                  <c:v>111.83294999992685</c:v>
                </c:pt>
                <c:pt idx="98">
                  <c:v>114.84867000054125</c:v>
                </c:pt>
                <c:pt idx="99">
                  <c:v>111.33032999982446</c:v>
                </c:pt>
                <c:pt idx="100">
                  <c:v>112.33557000002926</c:v>
                </c:pt>
                <c:pt idx="101">
                  <c:v>120.62879999989029</c:v>
                </c:pt>
                <c:pt idx="102">
                  <c:v>114.09473999947339</c:v>
                </c:pt>
                <c:pt idx="103">
                  <c:v>118.36701000034377</c:v>
                </c:pt>
                <c:pt idx="104">
                  <c:v>118.86963000044616</c:v>
                </c:pt>
                <c:pt idx="105">
                  <c:v>116.10521999988298</c:v>
                </c:pt>
                <c:pt idx="106">
                  <c:v>118.3670099994295</c:v>
                </c:pt>
                <c:pt idx="107">
                  <c:v>118.6183199994807</c:v>
                </c:pt>
                <c:pt idx="108">
                  <c:v>116.60783999998537</c:v>
                </c:pt>
                <c:pt idx="109">
                  <c:v>112.83819000013166</c:v>
                </c:pt>
                <c:pt idx="110">
                  <c:v>114.59735999957579</c:v>
                </c:pt>
                <c:pt idx="111">
                  <c:v>113.59212000028525</c:v>
                </c:pt>
                <c:pt idx="112">
                  <c:v>113.84342999942218</c:v>
                </c:pt>
                <c:pt idx="113">
                  <c:v>112.83819000013166</c:v>
                </c:pt>
                <c:pt idx="114">
                  <c:v>111.83294999992685</c:v>
                </c:pt>
                <c:pt idx="115">
                  <c:v>110.32509000053393</c:v>
                </c:pt>
                <c:pt idx="116">
                  <c:v>111.83294999992685</c:v>
                </c:pt>
                <c:pt idx="117">
                  <c:v>117.36177000013897</c:v>
                </c:pt>
                <c:pt idx="118">
                  <c:v>120.88010999994148</c:v>
                </c:pt>
                <c:pt idx="119">
                  <c:v>112.33557000002926</c:v>
                </c:pt>
                <c:pt idx="120">
                  <c:v>114.59735999957579</c:v>
                </c:pt>
                <c:pt idx="121">
                  <c:v>113.08950000018285</c:v>
                </c:pt>
                <c:pt idx="122">
                  <c:v>115.35128999972937</c:v>
                </c:pt>
                <c:pt idx="123">
                  <c:v>112.08425999997806</c:v>
                </c:pt>
                <c:pt idx="124">
                  <c:v>111.07901999977327</c:v>
                </c:pt>
                <c:pt idx="125">
                  <c:v>115.09997999967818</c:v>
                </c:pt>
                <c:pt idx="126">
                  <c:v>117.61308000019017</c:v>
                </c:pt>
                <c:pt idx="127">
                  <c:v>112.58688000008046</c:v>
                </c:pt>
                <c:pt idx="128">
                  <c:v>111.83294999992685</c:v>
                </c:pt>
                <c:pt idx="129">
                  <c:v>114.84866999962698</c:v>
                </c:pt>
                <c:pt idx="130">
                  <c:v>114.84867000054125</c:v>
                </c:pt>
                <c:pt idx="131">
                  <c:v>115.85390999983177</c:v>
                </c:pt>
                <c:pt idx="132">
                  <c:v>111.33033000073873</c:v>
                </c:pt>
                <c:pt idx="133">
                  <c:v>111.83294999992685</c:v>
                </c:pt>
                <c:pt idx="134">
                  <c:v>108.56592000017554</c:v>
                </c:pt>
                <c:pt idx="135">
                  <c:v>110.32508999961966</c:v>
                </c:pt>
                <c:pt idx="136">
                  <c:v>109.06854000027793</c:v>
                </c:pt>
                <c:pt idx="137">
                  <c:v>112.33557000002926</c:v>
                </c:pt>
                <c:pt idx="138">
                  <c:v>118.11570000029256</c:v>
                </c:pt>
                <c:pt idx="139">
                  <c:v>111.07901999977327</c:v>
                </c:pt>
                <c:pt idx="140">
                  <c:v>115.85390999983177</c:v>
                </c:pt>
                <c:pt idx="141">
                  <c:v>113.08950000018285</c:v>
                </c:pt>
                <c:pt idx="142">
                  <c:v>113.08950000018285</c:v>
                </c:pt>
                <c:pt idx="143">
                  <c:v>115.60259999978058</c:v>
                </c:pt>
                <c:pt idx="144">
                  <c:v>114.34605000043885</c:v>
                </c:pt>
                <c:pt idx="145">
                  <c:v>114.59735999957579</c:v>
                </c:pt>
                <c:pt idx="146">
                  <c:v>114.59736000049004</c:v>
                </c:pt>
                <c:pt idx="147">
                  <c:v>111.83294999992685</c:v>
                </c:pt>
                <c:pt idx="148">
                  <c:v>112.58688000008046</c:v>
                </c:pt>
                <c:pt idx="149">
                  <c:v>114.09474000038765</c:v>
                </c:pt>
                <c:pt idx="150">
                  <c:v>113.34080999931979</c:v>
                </c:pt>
                <c:pt idx="151">
                  <c:v>115.09997999967818</c:v>
                </c:pt>
                <c:pt idx="152">
                  <c:v>113.34081000023406</c:v>
                </c:pt>
                <c:pt idx="153">
                  <c:v>111.07901999977327</c:v>
                </c:pt>
                <c:pt idx="154">
                  <c:v>108.817230001141</c:v>
                </c:pt>
                <c:pt idx="155">
                  <c:v>112.33557000002926</c:v>
                </c:pt>
                <c:pt idx="156">
                  <c:v>112.08426000089231</c:v>
                </c:pt>
                <c:pt idx="157">
                  <c:v>110.82771000155059</c:v>
                </c:pt>
                <c:pt idx="158">
                  <c:v>112.08426000089231</c:v>
                </c:pt>
                <c:pt idx="159">
                  <c:v>111.33032999982446</c:v>
                </c:pt>
                <c:pt idx="160">
                  <c:v>112.58688000099471</c:v>
                </c:pt>
                <c:pt idx="161">
                  <c:v>112.58688000099471</c:v>
                </c:pt>
                <c:pt idx="162">
                  <c:v>112.58688000099471</c:v>
                </c:pt>
                <c:pt idx="163">
                  <c:v>112.33557000002926</c:v>
                </c:pt>
                <c:pt idx="164">
                  <c:v>111.33033000165298</c:v>
                </c:pt>
                <c:pt idx="165">
                  <c:v>112.33557000002926</c:v>
                </c:pt>
                <c:pt idx="166">
                  <c:v>113.08950000109711</c:v>
                </c:pt>
                <c:pt idx="167">
                  <c:v>111.83295000175538</c:v>
                </c:pt>
                <c:pt idx="168">
                  <c:v>112.83819000013166</c:v>
                </c:pt>
                <c:pt idx="169">
                  <c:v>111.33033000165298</c:v>
                </c:pt>
                <c:pt idx="170">
                  <c:v>112.58688000099471</c:v>
                </c:pt>
                <c:pt idx="171">
                  <c:v>111.83294999992685</c:v>
                </c:pt>
                <c:pt idx="172">
                  <c:v>110.07378000048273</c:v>
                </c:pt>
                <c:pt idx="173">
                  <c:v>112.33557000002926</c:v>
                </c:pt>
                <c:pt idx="174">
                  <c:v>114.09473999947339</c:v>
                </c:pt>
                <c:pt idx="175">
                  <c:v>111.33033000165298</c:v>
                </c:pt>
                <c:pt idx="176">
                  <c:v>111.07902000068752</c:v>
                </c:pt>
                <c:pt idx="177">
                  <c:v>112.5868799991662</c:v>
                </c:pt>
                <c:pt idx="178">
                  <c:v>113.59211999937099</c:v>
                </c:pt>
                <c:pt idx="179">
                  <c:v>111.58164000078992</c:v>
                </c:pt>
                <c:pt idx="180">
                  <c:v>113.0894999992686</c:v>
                </c:pt>
                <c:pt idx="181">
                  <c:v>113.5921200011995</c:v>
                </c:pt>
                <c:pt idx="182">
                  <c:v>111.33032999982446</c:v>
                </c:pt>
                <c:pt idx="183">
                  <c:v>111.58163999896141</c:v>
                </c:pt>
                <c:pt idx="184">
                  <c:v>111.33032999982446</c:v>
                </c:pt>
                <c:pt idx="185">
                  <c:v>112.0842599990638</c:v>
                </c:pt>
                <c:pt idx="186">
                  <c:v>112.33556999820074</c:v>
                </c:pt>
                <c:pt idx="187">
                  <c:v>115.85390999891752</c:v>
                </c:pt>
                <c:pt idx="188">
                  <c:v>115.85391000074604</c:v>
                </c:pt>
                <c:pt idx="189">
                  <c:v>115.09998000150671</c:v>
                </c:pt>
                <c:pt idx="190">
                  <c:v>111.83294999992685</c:v>
                </c:pt>
                <c:pt idx="191">
                  <c:v>113.0894999992686</c:v>
                </c:pt>
                <c:pt idx="192">
                  <c:v>112.33557000002926</c:v>
                </c:pt>
                <c:pt idx="193">
                  <c:v>112.5868799991662</c:v>
                </c:pt>
                <c:pt idx="194">
                  <c:v>113.0894999992686</c:v>
                </c:pt>
                <c:pt idx="195">
                  <c:v>111.83294999992685</c:v>
                </c:pt>
                <c:pt idx="196">
                  <c:v>112.33557000002926</c:v>
                </c:pt>
                <c:pt idx="197">
                  <c:v>118.11569999846404</c:v>
                </c:pt>
                <c:pt idx="198">
                  <c:v>118.3670099994295</c:v>
                </c:pt>
                <c:pt idx="199">
                  <c:v>117.36176999922471</c:v>
                </c:pt>
                <c:pt idx="200">
                  <c:v>116.10521999988298</c:v>
                </c:pt>
                <c:pt idx="201">
                  <c:v>112.58688000099471</c:v>
                </c:pt>
                <c:pt idx="202">
                  <c:v>115.35128999881512</c:v>
                </c:pt>
                <c:pt idx="203">
                  <c:v>115.85390999891752</c:v>
                </c:pt>
                <c:pt idx="204">
                  <c:v>118.8696299995319</c:v>
                </c:pt>
                <c:pt idx="205">
                  <c:v>117.86439000115563</c:v>
                </c:pt>
                <c:pt idx="206">
                  <c:v>118.36701000125802</c:v>
                </c:pt>
                <c:pt idx="207">
                  <c:v>117.61308000019017</c:v>
                </c:pt>
                <c:pt idx="208">
                  <c:v>118.36701000125802</c:v>
                </c:pt>
                <c:pt idx="209">
                  <c:v>116.35653000084844</c:v>
                </c:pt>
                <c:pt idx="210">
                  <c:v>114.09474000130191</c:v>
                </c:pt>
                <c:pt idx="211">
                  <c:v>114.59736000140431</c:v>
                </c:pt>
                <c:pt idx="212">
                  <c:v>115.85391000074604</c:v>
                </c:pt>
                <c:pt idx="213">
                  <c:v>111.33033000165298</c:v>
                </c:pt>
                <c:pt idx="214">
                  <c:v>120.12618000070215</c:v>
                </c:pt>
                <c:pt idx="215">
                  <c:v>116.60783999998537</c:v>
                </c:pt>
                <c:pt idx="216">
                  <c:v>117.8643899993271</c:v>
                </c:pt>
                <c:pt idx="217">
                  <c:v>113.34081000023406</c:v>
                </c:pt>
                <c:pt idx="218">
                  <c:v>118.3670099994295</c:v>
                </c:pt>
                <c:pt idx="219">
                  <c:v>117.61308000019017</c:v>
                </c:pt>
                <c:pt idx="220">
                  <c:v>118.61832000039496</c:v>
                </c:pt>
                <c:pt idx="221">
                  <c:v>114.84866999871272</c:v>
                </c:pt>
                <c:pt idx="222">
                  <c:v>118.61832000039496</c:v>
                </c:pt>
                <c:pt idx="223">
                  <c:v>116.35652999901991</c:v>
                </c:pt>
                <c:pt idx="224">
                  <c:v>117.61308000019017</c:v>
                </c:pt>
                <c:pt idx="225">
                  <c:v>111.83294999992685</c:v>
                </c:pt>
                <c:pt idx="226">
                  <c:v>117.11046000008777</c:v>
                </c:pt>
                <c:pt idx="227">
                  <c:v>115.85391000074604</c:v>
                </c:pt>
                <c:pt idx="228">
                  <c:v>114.34605000043885</c:v>
                </c:pt>
                <c:pt idx="229">
                  <c:v>114.84867000054125</c:v>
                </c:pt>
                <c:pt idx="230">
                  <c:v>118.8696299995319</c:v>
                </c:pt>
                <c:pt idx="231">
                  <c:v>116.85915000095083</c:v>
                </c:pt>
                <c:pt idx="232">
                  <c:v>117.36176999922471</c:v>
                </c:pt>
                <c:pt idx="233">
                  <c:v>113.59211999937099</c:v>
                </c:pt>
                <c:pt idx="234">
                  <c:v>114.59735999957579</c:v>
                </c:pt>
                <c:pt idx="235">
                  <c:v>115.60259999978058</c:v>
                </c:pt>
                <c:pt idx="236">
                  <c:v>114.09473999947339</c:v>
                </c:pt>
                <c:pt idx="237">
                  <c:v>112.58688000099471</c:v>
                </c:pt>
                <c:pt idx="238">
                  <c:v>116.35652999901991</c:v>
                </c:pt>
                <c:pt idx="239">
                  <c:v>122.38797000024869</c:v>
                </c:pt>
                <c:pt idx="240">
                  <c:v>111.58164000078992</c:v>
                </c:pt>
                <c:pt idx="241">
                  <c:v>101.47532000065345</c:v>
                </c:pt>
                <c:pt idx="242">
                  <c:v>113.59211999937099</c:v>
                </c:pt>
                <c:pt idx="243">
                  <c:v>111.83294999992685</c:v>
                </c:pt>
                <c:pt idx="244">
                  <c:v>112.33557000002926</c:v>
                </c:pt>
                <c:pt idx="245">
                  <c:v>113.34081000023406</c:v>
                </c:pt>
                <c:pt idx="246">
                  <c:v>112.0842599990638</c:v>
                </c:pt>
                <c:pt idx="247">
                  <c:v>112.83819000013166</c:v>
                </c:pt>
                <c:pt idx="248">
                  <c:v>116.35652999901991</c:v>
                </c:pt>
                <c:pt idx="249">
                  <c:v>117.86439000115563</c:v>
                </c:pt>
                <c:pt idx="250">
                  <c:v>118.36701000125802</c:v>
                </c:pt>
                <c:pt idx="251">
                  <c:v>112.58688000099471</c:v>
                </c:pt>
                <c:pt idx="252">
                  <c:v>117.61308000019017</c:v>
                </c:pt>
                <c:pt idx="253">
                  <c:v>114.09473999947339</c:v>
                </c:pt>
                <c:pt idx="254">
                  <c:v>114.34605000043885</c:v>
                </c:pt>
                <c:pt idx="255">
                  <c:v>118.61831999856643</c:v>
                </c:pt>
                <c:pt idx="256">
                  <c:v>117.8643899993271</c:v>
                </c:pt>
                <c:pt idx="257">
                  <c:v>118.11569999846404</c:v>
                </c:pt>
                <c:pt idx="258">
                  <c:v>117.36176999922471</c:v>
                </c:pt>
                <c:pt idx="259">
                  <c:v>113.0894999992686</c:v>
                </c:pt>
                <c:pt idx="260">
                  <c:v>119.12094000049736</c:v>
                </c:pt>
                <c:pt idx="261">
                  <c:v>115.09997999967818</c:v>
                </c:pt>
                <c:pt idx="262">
                  <c:v>115.85390999891752</c:v>
                </c:pt>
                <c:pt idx="263">
                  <c:v>112.33557000002926</c:v>
                </c:pt>
                <c:pt idx="264">
                  <c:v>117.86439000115563</c:v>
                </c:pt>
                <c:pt idx="265">
                  <c:v>118.61832000039496</c:v>
                </c:pt>
                <c:pt idx="266">
                  <c:v>117.36177000105323</c:v>
                </c:pt>
                <c:pt idx="267">
                  <c:v>113.59211999937099</c:v>
                </c:pt>
                <c:pt idx="268">
                  <c:v>114.34605000043885</c:v>
                </c:pt>
                <c:pt idx="269">
                  <c:v>112.58688000099471</c:v>
                </c:pt>
                <c:pt idx="270">
                  <c:v>112.83819000013166</c:v>
                </c:pt>
                <c:pt idx="271">
                  <c:v>111.83294999992685</c:v>
                </c:pt>
                <c:pt idx="272">
                  <c:v>117.36176999922471</c:v>
                </c:pt>
                <c:pt idx="273">
                  <c:v>117.11046000008777</c:v>
                </c:pt>
                <c:pt idx="274">
                  <c:v>117.36177000105323</c:v>
                </c:pt>
                <c:pt idx="275">
                  <c:v>115.85390999891752</c:v>
                </c:pt>
                <c:pt idx="276">
                  <c:v>114.34604999861033</c:v>
                </c:pt>
                <c:pt idx="277">
                  <c:v>115.85391000074604</c:v>
                </c:pt>
                <c:pt idx="278">
                  <c:v>113.34081000023406</c:v>
                </c:pt>
                <c:pt idx="279">
                  <c:v>112.33557000002926</c:v>
                </c:pt>
                <c:pt idx="280">
                  <c:v>118.36701000125802</c:v>
                </c:pt>
                <c:pt idx="281">
                  <c:v>111.33032999982446</c:v>
                </c:pt>
                <c:pt idx="282">
                  <c:v>116.85915000095083</c:v>
                </c:pt>
                <c:pt idx="283">
                  <c:v>115.85390999891752</c:v>
                </c:pt>
                <c:pt idx="284">
                  <c:v>118.61832000039496</c:v>
                </c:pt>
                <c:pt idx="285">
                  <c:v>109.57116000038033</c:v>
                </c:pt>
                <c:pt idx="286">
                  <c:v>101.36526000023063</c:v>
                </c:pt>
                <c:pt idx="287">
                  <c:v>109.31984999941487</c:v>
                </c:pt>
                <c:pt idx="288">
                  <c:v>113.34081000023406</c:v>
                </c:pt>
                <c:pt idx="289">
                  <c:v>108.817230001141</c:v>
                </c:pt>
                <c:pt idx="290">
                  <c:v>119.87486999973669</c:v>
                </c:pt>
                <c:pt idx="291">
                  <c:v>113.59211999937099</c:v>
                </c:pt>
                <c:pt idx="292">
                  <c:v>116.85915000095083</c:v>
                </c:pt>
                <c:pt idx="293">
                  <c:v>113.34081000023406</c:v>
                </c:pt>
                <c:pt idx="294">
                  <c:v>111.33032999982446</c:v>
                </c:pt>
                <c:pt idx="295">
                  <c:v>112.33557000002926</c:v>
                </c:pt>
                <c:pt idx="296">
                  <c:v>113.5921200011995</c:v>
                </c:pt>
                <c:pt idx="297">
                  <c:v>116.85914999912231</c:v>
                </c:pt>
                <c:pt idx="298">
                  <c:v>118.61832000039496</c:v>
                </c:pt>
                <c:pt idx="299">
                  <c:v>117.11046000008777</c:v>
                </c:pt>
                <c:pt idx="300">
                  <c:v>117.8643899993271</c:v>
                </c:pt>
                <c:pt idx="301">
                  <c:v>111.83294999992685</c:v>
                </c:pt>
                <c:pt idx="302">
                  <c:v>115.09997999967818</c:v>
                </c:pt>
                <c:pt idx="303">
                  <c:v>116.60783999998537</c:v>
                </c:pt>
                <c:pt idx="304">
                  <c:v>114.84867000054125</c:v>
                </c:pt>
                <c:pt idx="305">
                  <c:v>114.84866999871272</c:v>
                </c:pt>
                <c:pt idx="306">
                  <c:v>116.60783999998537</c:v>
                </c:pt>
                <c:pt idx="307">
                  <c:v>117.61308000019017</c:v>
                </c:pt>
                <c:pt idx="308">
                  <c:v>113.84343000033645</c:v>
                </c:pt>
                <c:pt idx="309">
                  <c:v>112.33557000002926</c:v>
                </c:pt>
                <c:pt idx="310">
                  <c:v>117.86439000115563</c:v>
                </c:pt>
                <c:pt idx="311">
                  <c:v>116.10521999988298</c:v>
                </c:pt>
                <c:pt idx="312">
                  <c:v>114.84867000054125</c:v>
                </c:pt>
                <c:pt idx="313">
                  <c:v>120.62880000080455</c:v>
                </c:pt>
                <c:pt idx="314">
                  <c:v>117.11046000008777</c:v>
                </c:pt>
                <c:pt idx="315">
                  <c:v>117.8643899993271</c:v>
                </c:pt>
                <c:pt idx="316">
                  <c:v>116.85914999912231</c:v>
                </c:pt>
                <c:pt idx="317">
                  <c:v>113.08950000109711</c:v>
                </c:pt>
                <c:pt idx="318">
                  <c:v>123.39320999862495</c:v>
                </c:pt>
                <c:pt idx="319">
                  <c:v>114.09473999947339</c:v>
                </c:pt>
                <c:pt idx="320">
                  <c:v>114.84866999871272</c:v>
                </c:pt>
                <c:pt idx="321">
                  <c:v>115.85390999891752</c:v>
                </c:pt>
                <c:pt idx="322">
                  <c:v>116.60783999998537</c:v>
                </c:pt>
                <c:pt idx="323">
                  <c:v>118.11570000029256</c:v>
                </c:pt>
                <c:pt idx="324">
                  <c:v>118.86963000136042</c:v>
                </c:pt>
                <c:pt idx="325">
                  <c:v>111.58163999896141</c:v>
                </c:pt>
                <c:pt idx="326">
                  <c:v>112.33557000002926</c:v>
                </c:pt>
                <c:pt idx="327">
                  <c:v>113.08950000109711</c:v>
                </c:pt>
                <c:pt idx="328">
                  <c:v>112.08426000089231</c:v>
                </c:pt>
                <c:pt idx="329">
                  <c:v>113.59211999937099</c:v>
                </c:pt>
                <c:pt idx="330">
                  <c:v>121.88535000014629</c:v>
                </c:pt>
                <c:pt idx="331">
                  <c:v>113.34081000023406</c:v>
                </c:pt>
                <c:pt idx="332">
                  <c:v>102.46586000045485</c:v>
                </c:pt>
                <c:pt idx="333">
                  <c:v>112.58688000099471</c:v>
                </c:pt>
                <c:pt idx="334">
                  <c:v>112.0842599990638</c:v>
                </c:pt>
                <c:pt idx="335">
                  <c:v>115.35129000064364</c:v>
                </c:pt>
                <c:pt idx="336">
                  <c:v>111.83294999992685</c:v>
                </c:pt>
                <c:pt idx="337">
                  <c:v>117.61308000019017</c:v>
                </c:pt>
                <c:pt idx="338">
                  <c:v>117.61308000019017</c:v>
                </c:pt>
                <c:pt idx="339">
                  <c:v>113.84343000033645</c:v>
                </c:pt>
                <c:pt idx="340">
                  <c:v>112.08426000089231</c:v>
                </c:pt>
                <c:pt idx="341">
                  <c:v>113.59211999937099</c:v>
                </c:pt>
                <c:pt idx="342">
                  <c:v>117.61308000019017</c:v>
                </c:pt>
                <c:pt idx="343">
                  <c:v>115.35129000064364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32-404B-A64E-EB09AD611CD1}"/>
            </c:ext>
          </c:extLst>
        </c:ser>
        <c:ser>
          <c:idx val="7"/>
          <c:order val="7"/>
          <c:tx>
            <c:v>Lawr Pick to T5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'Lawrence vs Stafford'!$X$3:$X$146</c:f>
              <c:numCache>
                <c:formatCode>General</c:formatCode>
                <c:ptCount val="144"/>
                <c:pt idx="0">
                  <c:v>115.16240999983278</c:v>
                </c:pt>
                <c:pt idx="1">
                  <c:v>114.16317000008361</c:v>
                </c:pt>
                <c:pt idx="2">
                  <c:v>118.40993999981279</c:v>
                </c:pt>
                <c:pt idx="3">
                  <c:v>114.91260000000909</c:v>
                </c:pt>
                <c:pt idx="4">
                  <c:v>112.66431000000546</c:v>
                </c:pt>
                <c:pt idx="5">
                  <c:v>113.41373999993093</c:v>
                </c:pt>
                <c:pt idx="6">
                  <c:v>113.91336000003272</c:v>
                </c:pt>
                <c:pt idx="7">
                  <c:v>114.66278999995819</c:v>
                </c:pt>
                <c:pt idx="8">
                  <c:v>113.91336000003272</c:v>
                </c:pt>
                <c:pt idx="9">
                  <c:v>114.91260000000909</c:v>
                </c:pt>
                <c:pt idx="10">
                  <c:v>114.16316999985641</c:v>
                </c:pt>
                <c:pt idx="11">
                  <c:v>115.16240999983278</c:v>
                </c:pt>
                <c:pt idx="12">
                  <c:v>114.66278999995819</c:v>
                </c:pt>
                <c:pt idx="13">
                  <c:v>114.41297999990731</c:v>
                </c:pt>
                <c:pt idx="14">
                  <c:v>113.66354999998183</c:v>
                </c:pt>
                <c:pt idx="15">
                  <c:v>115.41222000011088</c:v>
                </c:pt>
                <c:pt idx="16">
                  <c:v>111.41525999997819</c:v>
                </c:pt>
                <c:pt idx="17">
                  <c:v>113.41373999993093</c:v>
                </c:pt>
                <c:pt idx="18">
                  <c:v>114.41297999990731</c:v>
                </c:pt>
                <c:pt idx="19">
                  <c:v>113.16393000010724</c:v>
                </c:pt>
                <c:pt idx="20">
                  <c:v>115.41222000011088</c:v>
                </c:pt>
                <c:pt idx="21">
                  <c:v>114.16317000008361</c:v>
                </c:pt>
                <c:pt idx="22">
                  <c:v>113.16393000010724</c:v>
                </c:pt>
                <c:pt idx="23">
                  <c:v>114.16317000008361</c:v>
                </c:pt>
                <c:pt idx="24">
                  <c:v>113.66354999998183</c:v>
                </c:pt>
                <c:pt idx="25">
                  <c:v>113.41373999993093</c:v>
                </c:pt>
                <c:pt idx="26">
                  <c:v>111.91487999985277</c:v>
                </c:pt>
                <c:pt idx="27">
                  <c:v>112.91411999982914</c:v>
                </c:pt>
                <c:pt idx="28">
                  <c:v>113.41373999993093</c:v>
                </c:pt>
                <c:pt idx="29">
                  <c:v>112.91412000005634</c:v>
                </c:pt>
                <c:pt idx="30">
                  <c:v>113.91336000003272</c:v>
                </c:pt>
                <c:pt idx="31">
                  <c:v>113.66354999998183</c:v>
                </c:pt>
                <c:pt idx="32">
                  <c:v>111.41525999997819</c:v>
                </c:pt>
                <c:pt idx="33">
                  <c:v>110.66583000005271</c:v>
                </c:pt>
                <c:pt idx="34">
                  <c:v>113.16393000010724</c:v>
                </c:pt>
                <c:pt idx="35">
                  <c:v>113.41373999993093</c:v>
                </c:pt>
                <c:pt idx="36">
                  <c:v>114.41297999990731</c:v>
                </c:pt>
                <c:pt idx="37">
                  <c:v>112.91412000005634</c:v>
                </c:pt>
                <c:pt idx="38">
                  <c:v>112.91411999982914</c:v>
                </c:pt>
                <c:pt idx="39">
                  <c:v>113.66354999998183</c:v>
                </c:pt>
                <c:pt idx="40">
                  <c:v>113.91336000003272</c:v>
                </c:pt>
                <c:pt idx="41">
                  <c:v>114.16317000008361</c:v>
                </c:pt>
                <c:pt idx="42">
                  <c:v>114.66278999995819</c:v>
                </c:pt>
                <c:pt idx="43">
                  <c:v>113.66354999998183</c:v>
                </c:pt>
                <c:pt idx="44">
                  <c:v>113.66355000020903</c:v>
                </c:pt>
                <c:pt idx="45">
                  <c:v>113.66354999998183</c:v>
                </c:pt>
                <c:pt idx="46">
                  <c:v>114.41297999990731</c:v>
                </c:pt>
                <c:pt idx="47">
                  <c:v>113.16392999988004</c:v>
                </c:pt>
                <c:pt idx="48">
                  <c:v>113.91336000003272</c:v>
                </c:pt>
                <c:pt idx="49">
                  <c:v>117.16089000001273</c:v>
                </c:pt>
                <c:pt idx="50">
                  <c:v>112.66431000000546</c:v>
                </c:pt>
                <c:pt idx="51">
                  <c:v>113.91336000003272</c:v>
                </c:pt>
                <c:pt idx="52">
                  <c:v>115.16241000005998</c:v>
                </c:pt>
                <c:pt idx="53">
                  <c:v>115.16241000005998</c:v>
                </c:pt>
                <c:pt idx="54">
                  <c:v>119.40918000001636</c:v>
                </c:pt>
                <c:pt idx="55">
                  <c:v>113.41374000015813</c:v>
                </c:pt>
                <c:pt idx="56">
                  <c:v>112.16468999990367</c:v>
                </c:pt>
                <c:pt idx="57">
                  <c:v>113.91336000003272</c:v>
                </c:pt>
                <c:pt idx="58">
                  <c:v>113.66354999998183</c:v>
                </c:pt>
                <c:pt idx="59">
                  <c:v>114.66278999995819</c:v>
                </c:pt>
                <c:pt idx="60">
                  <c:v>115.41221999988367</c:v>
                </c:pt>
                <c:pt idx="61">
                  <c:v>114.66278999995819</c:v>
                </c:pt>
                <c:pt idx="62">
                  <c:v>119.40918000001636</c:v>
                </c:pt>
                <c:pt idx="63">
                  <c:v>115.16241000005998</c:v>
                </c:pt>
                <c:pt idx="64">
                  <c:v>113.66354999998183</c:v>
                </c:pt>
                <c:pt idx="65">
                  <c:v>113.66354999998183</c:v>
                </c:pt>
                <c:pt idx="66">
                  <c:v>114.66278999995819</c:v>
                </c:pt>
                <c:pt idx="67">
                  <c:v>119.90880000011815</c:v>
                </c:pt>
                <c:pt idx="68">
                  <c:v>110.6658299998255</c:v>
                </c:pt>
                <c:pt idx="69">
                  <c:v>114.91260000000909</c:v>
                </c:pt>
                <c:pt idx="70">
                  <c:v>112.41450000018176</c:v>
                </c:pt>
                <c:pt idx="71">
                  <c:v>114.91260000000909</c:v>
                </c:pt>
                <c:pt idx="72">
                  <c:v>114.16317000008361</c:v>
                </c:pt>
                <c:pt idx="73">
                  <c:v>113.66354999998183</c:v>
                </c:pt>
                <c:pt idx="74">
                  <c:v>114.41297999990731</c:v>
                </c:pt>
                <c:pt idx="75">
                  <c:v>114.91260000000909</c:v>
                </c:pt>
                <c:pt idx="76">
                  <c:v>114.91260000000909</c:v>
                </c:pt>
                <c:pt idx="77">
                  <c:v>131.15024999990911</c:v>
                </c:pt>
                <c:pt idx="78">
                  <c:v>113.91336000003272</c:v>
                </c:pt>
                <c:pt idx="79">
                  <c:v>114.91260000000909</c:v>
                </c:pt>
                <c:pt idx="80">
                  <c:v>112.91412000005634</c:v>
                </c:pt>
                <c:pt idx="81">
                  <c:v>111.41525999997819</c:v>
                </c:pt>
                <c:pt idx="82">
                  <c:v>111.16545000015449</c:v>
                </c:pt>
                <c:pt idx="83">
                  <c:v>115.16241000005998</c:v>
                </c:pt>
                <c:pt idx="84">
                  <c:v>113.91335999980552</c:v>
                </c:pt>
                <c:pt idx="85">
                  <c:v>114.66278999995819</c:v>
                </c:pt>
                <c:pt idx="86">
                  <c:v>114.91260000000909</c:v>
                </c:pt>
                <c:pt idx="87">
                  <c:v>112.41449999995456</c:v>
                </c:pt>
                <c:pt idx="88">
                  <c:v>110.91564000010361</c:v>
                </c:pt>
                <c:pt idx="89">
                  <c:v>114.66278999995819</c:v>
                </c:pt>
                <c:pt idx="90">
                  <c:v>113.66354999998183</c:v>
                </c:pt>
                <c:pt idx="91">
                  <c:v>119.40918000001636</c:v>
                </c:pt>
                <c:pt idx="92">
                  <c:v>114.41298000013451</c:v>
                </c:pt>
                <c:pt idx="93">
                  <c:v>114.91260000000909</c:v>
                </c:pt>
                <c:pt idx="94">
                  <c:v>110.66583000005271</c:v>
                </c:pt>
                <c:pt idx="95">
                  <c:v>113.66354999998183</c:v>
                </c:pt>
                <c:pt idx="96">
                  <c:v>115.16241000005998</c:v>
                </c:pt>
                <c:pt idx="97">
                  <c:v>113.41374000015813</c:v>
                </c:pt>
                <c:pt idx="98">
                  <c:v>114.6627900001854</c:v>
                </c:pt>
                <c:pt idx="99">
                  <c:v>111.91488000007998</c:v>
                </c:pt>
                <c:pt idx="100">
                  <c:v>114.41297999990731</c:v>
                </c:pt>
                <c:pt idx="101">
                  <c:v>114.41297999990731</c:v>
                </c:pt>
                <c:pt idx="102">
                  <c:v>113.66354999998183</c:v>
                </c:pt>
                <c:pt idx="103">
                  <c:v>114.6627900001854</c:v>
                </c:pt>
                <c:pt idx="104">
                  <c:v>111.66507000002909</c:v>
                </c:pt>
                <c:pt idx="105">
                  <c:v>114.66278999995819</c:v>
                </c:pt>
                <c:pt idx="106">
                  <c:v>113.16393000010724</c:v>
                </c:pt>
                <c:pt idx="107">
                  <c:v>114.16316999985641</c:v>
                </c:pt>
                <c:pt idx="108">
                  <c:v>113.91335999980552</c:v>
                </c:pt>
                <c:pt idx="109">
                  <c:v>110.66583000005271</c:v>
                </c:pt>
                <c:pt idx="110">
                  <c:v>112.16469000013088</c:v>
                </c:pt>
                <c:pt idx="111">
                  <c:v>114.66278999995819</c:v>
                </c:pt>
                <c:pt idx="112">
                  <c:v>111.41525999997819</c:v>
                </c:pt>
                <c:pt idx="113">
                  <c:v>114.41298000013451</c:v>
                </c:pt>
                <c:pt idx="114">
                  <c:v>114.66278999995819</c:v>
                </c:pt>
                <c:pt idx="115">
                  <c:v>110.9156399998764</c:v>
                </c:pt>
                <c:pt idx="116">
                  <c:v>113.41373999993093</c:v>
                </c:pt>
                <c:pt idx="117">
                  <c:v>118.40994000004</c:v>
                </c:pt>
                <c:pt idx="118">
                  <c:v>115.41221999988367</c:v>
                </c:pt>
                <c:pt idx="119">
                  <c:v>113.91336000003272</c:v>
                </c:pt>
                <c:pt idx="120">
                  <c:v>115.16240999983278</c:v>
                </c:pt>
                <c:pt idx="121">
                  <c:v>110.41602000000182</c:v>
                </c:pt>
                <c:pt idx="122">
                  <c:v>114.16317000008361</c:v>
                </c:pt>
                <c:pt idx="123">
                  <c:v>111.16544999992729</c:v>
                </c:pt>
                <c:pt idx="124">
                  <c:v>114.6627900001854</c:v>
                </c:pt>
                <c:pt idx="125">
                  <c:v>113.41373999993093</c:v>
                </c:pt>
                <c:pt idx="126">
                  <c:v>111.91488000007998</c:v>
                </c:pt>
                <c:pt idx="127">
                  <c:v>113.91335999980552</c:v>
                </c:pt>
                <c:pt idx="128">
                  <c:v>111.91488000007998</c:v>
                </c:pt>
                <c:pt idx="129">
                  <c:v>114.91260000000909</c:v>
                </c:pt>
                <c:pt idx="130">
                  <c:v>111.41525999997819</c:v>
                </c:pt>
                <c:pt idx="131">
                  <c:v>114.41297999990731</c:v>
                </c:pt>
                <c:pt idx="132">
                  <c:v>113.66354999998183</c:v>
                </c:pt>
                <c:pt idx="133">
                  <c:v>112.16468999990367</c:v>
                </c:pt>
                <c:pt idx="134">
                  <c:v>111.66507000002909</c:v>
                </c:pt>
                <c:pt idx="135">
                  <c:v>113.91336000003272</c:v>
                </c:pt>
                <c:pt idx="136">
                  <c:v>110.91564000010361</c:v>
                </c:pt>
                <c:pt idx="137">
                  <c:v>114.41297999990731</c:v>
                </c:pt>
                <c:pt idx="138">
                  <c:v>111.16544999992729</c:v>
                </c:pt>
                <c:pt idx="139">
                  <c:v>113.66354999998183</c:v>
                </c:pt>
                <c:pt idx="140">
                  <c:v>113.16392999988004</c:v>
                </c:pt>
                <c:pt idx="141">
                  <c:v>113.16392999988004</c:v>
                </c:pt>
                <c:pt idx="142">
                  <c:v>111.41525999997819</c:v>
                </c:pt>
                <c:pt idx="143">
                  <c:v>115.41221999988367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F32-404B-A64E-EB09AD61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376432"/>
        <c:axId val="823374136"/>
      </c:scatterChart>
      <c:valAx>
        <c:axId val="823376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74136"/>
        <c:crosses val="autoZero"/>
        <c:crossBetween val="midCat"/>
      </c:valAx>
      <c:valAx>
        <c:axId val="823374136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7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3</xdr:row>
      <xdr:rowOff>11112</xdr:rowOff>
    </xdr:from>
    <xdr:to>
      <xdr:col>14</xdr:col>
      <xdr:colOff>311150</xdr:colOff>
      <xdr:row>18</xdr:row>
      <xdr:rowOff>49212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653304-5C3F-7F91-4E2A-6E92B66F2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323850</xdr:colOff>
      <xdr:row>3</xdr:row>
      <xdr:rowOff>9525</xdr:rowOff>
    </xdr:from>
    <xdr:to>
      <xdr:col>22</xdr:col>
      <xdr:colOff>19050</xdr:colOff>
      <xdr:row>18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5A7ADB-759C-44B6-9D32-38595BC35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8</xdr:col>
      <xdr:colOff>75609</xdr:colOff>
      <xdr:row>14</xdr:row>
      <xdr:rowOff>123643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613B7B-1944-33D7-3E01-AFB99160D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4475" y="1333500"/>
          <a:ext cx="4723809" cy="14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7</xdr:col>
      <xdr:colOff>466162</xdr:colOff>
      <xdr:row>22</xdr:row>
      <xdr:rowOff>95095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E167E6-7415-39ED-88DA-A6D4CDFEB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4475" y="3048000"/>
          <a:ext cx="4504762" cy="12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9</xdr:col>
      <xdr:colOff>275533</xdr:colOff>
      <xdr:row>30</xdr:row>
      <xdr:rowOff>66524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A8D056-8AD0-CC54-3555-964359679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24475" y="4572000"/>
          <a:ext cx="5533333" cy="12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8</xdr:col>
      <xdr:colOff>189895</xdr:colOff>
      <xdr:row>38</xdr:row>
      <xdr:rowOff>76048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9A9D3F-301B-7012-2B28-E727F819B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4475" y="6096000"/>
          <a:ext cx="4838095" cy="12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606426</xdr:colOff>
      <xdr:row>2522</xdr:row>
      <xdr:rowOff>1587</xdr:rowOff>
    </xdr:from>
    <xdr:to>
      <xdr:col>29</xdr:col>
      <xdr:colOff>466725</xdr:colOff>
      <xdr:row>2569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5E843F-A782-755A-BE11-031C8160A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1</xdr:row>
      <xdr:rowOff>176212</xdr:rowOff>
    </xdr:from>
    <xdr:to>
      <xdr:col>6</xdr:col>
      <xdr:colOff>180975</xdr:colOff>
      <xdr:row>16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29FA2E-CB1D-616B-D146-60EAA67D9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</xdr:row>
      <xdr:rowOff>171451</xdr:rowOff>
    </xdr:from>
    <xdr:to>
      <xdr:col>17</xdr:col>
      <xdr:colOff>333375</xdr:colOff>
      <xdr:row>22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824D80-60A5-76A4-1EE3-ACEAC3993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137</xdr:row>
      <xdr:rowOff>57150</xdr:rowOff>
    </xdr:from>
    <xdr:to>
      <xdr:col>23</xdr:col>
      <xdr:colOff>190501</xdr:colOff>
      <xdr:row>141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54F163-14BB-3DD4-8F27-12C796CC7A63}"/>
            </a:ext>
          </a:extLst>
        </xdr:cNvPr>
        <xdr:cNvSpPr txBox="1"/>
      </xdr:nvSpPr>
      <xdr:spPr>
        <a:xfrm>
          <a:off x="9277350" y="26155650"/>
          <a:ext cx="5648326" cy="733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19050</xdr:colOff>
      <xdr:row>21</xdr:row>
      <xdr:rowOff>152399</xdr:rowOff>
    </xdr:from>
    <xdr:to>
      <xdr:col>17</xdr:col>
      <xdr:colOff>400051</xdr:colOff>
      <xdr:row>28</xdr:row>
      <xdr:rowOff>28574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152E46-241C-790C-45DC-F9D5FB4B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152899"/>
          <a:ext cx="10848976" cy="1209675"/>
        </a:xfrm>
        <a:prstGeom prst="rect">
          <a:avLst/>
        </a:prstGeom>
        <a:effectLst>
          <a:softEdge rad="508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A605-082B-4953-9B10-6F18B76267D5}">
  <dimension ref="B1:R31"/>
  <sheetViews>
    <sheetView topLeftCell="A16" zoomScaleNormal="100" workbookViewId="0">
      <selection activeCell="G22" sqref="G22"/>
    </sheetView>
  </sheetViews>
  <sheetFormatPr defaultColWidth="9.1796875" defaultRowHeight="14.5" x14ac:dyDescent="0.35"/>
  <cols>
    <col min="1" max="1" width="3.54296875" style="1" customWidth="1"/>
    <col min="2" max="2" width="19.54296875" style="1" customWidth="1"/>
    <col min="3" max="3" width="12.26953125" style="1" bestFit="1" customWidth="1"/>
    <col min="4" max="4" width="13.453125" style="1" customWidth="1"/>
    <col min="5" max="5" width="10" style="1" customWidth="1"/>
    <col min="6" max="6" width="13" style="1" customWidth="1"/>
    <col min="7" max="7" width="13.7265625" style="1" customWidth="1"/>
    <col min="8" max="12" width="9.1796875" style="1"/>
    <col min="13" max="13" width="23.7265625" style="1" customWidth="1"/>
    <col min="14" max="16384" width="9.1796875" style="1"/>
  </cols>
  <sheetData>
    <row r="1" spans="2:18" x14ac:dyDescent="0.35">
      <c r="B1" s="1" t="s">
        <v>3</v>
      </c>
      <c r="F1" s="1" t="s">
        <v>12</v>
      </c>
      <c r="I1" s="1" t="s">
        <v>15</v>
      </c>
      <c r="L1" s="1" t="s">
        <v>16</v>
      </c>
    </row>
    <row r="2" spans="2:18" x14ac:dyDescent="0.35">
      <c r="B2" s="3" t="s">
        <v>0</v>
      </c>
      <c r="C2" s="23" t="s">
        <v>450</v>
      </c>
      <c r="F2" s="2" t="s">
        <v>13</v>
      </c>
      <c r="G2" s="23">
        <v>740</v>
      </c>
      <c r="I2" s="2" t="s">
        <v>14</v>
      </c>
      <c r="J2" s="9"/>
      <c r="L2" s="9">
        <v>9</v>
      </c>
    </row>
    <row r="3" spans="2:18" x14ac:dyDescent="0.35">
      <c r="B3" s="4" t="s">
        <v>11</v>
      </c>
      <c r="C3" s="7">
        <f>HEX2DEC(C2)/16</f>
        <v>121.75</v>
      </c>
      <c r="F3" s="4" t="s">
        <v>14</v>
      </c>
      <c r="G3" s="7">
        <f>HEX2DEC(G2)</f>
        <v>1856</v>
      </c>
      <c r="I3" s="4" t="s">
        <v>13</v>
      </c>
      <c r="J3" s="7" t="str">
        <f>DEC2HEX(J2)</f>
        <v>0</v>
      </c>
      <c r="L3" s="9">
        <v>0</v>
      </c>
      <c r="M3" s="7" t="str">
        <f>VLOOKUP(L3,N3:O6,2,TRUE)</f>
        <v>Submit new page</v>
      </c>
      <c r="N3" s="1">
        <v>0</v>
      </c>
      <c r="O3" s="1" t="s">
        <v>17</v>
      </c>
      <c r="Q3" s="1">
        <v>0</v>
      </c>
      <c r="R3" s="1" t="s">
        <v>30</v>
      </c>
    </row>
    <row r="4" spans="2:18" x14ac:dyDescent="0.35">
      <c r="B4" s="4" t="s">
        <v>2</v>
      </c>
      <c r="C4" s="8">
        <f>C3*70/380</f>
        <v>22.42763157894737</v>
      </c>
      <c r="G4" s="1">
        <f>G3/16</f>
        <v>116</v>
      </c>
      <c r="L4" s="9" t="s">
        <v>73</v>
      </c>
      <c r="M4" s="7" t="str">
        <f>CONCATENATE("page ID = ",HEX2DEC(L4))</f>
        <v>page ID = 11</v>
      </c>
      <c r="N4" s="1">
        <v>1</v>
      </c>
      <c r="O4" s="1" t="s">
        <v>18</v>
      </c>
      <c r="Q4" s="1">
        <v>1</v>
      </c>
      <c r="R4" s="1" t="s">
        <v>33</v>
      </c>
    </row>
    <row r="5" spans="2:18" x14ac:dyDescent="0.35">
      <c r="G5" s="33">
        <f>G4*70/385</f>
        <v>21.09090909090909</v>
      </c>
      <c r="J5" s="1">
        <f>252*16</f>
        <v>4032</v>
      </c>
      <c r="L5" s="9">
        <v>2</v>
      </c>
      <c r="M5" s="7" t="str">
        <f>CONCATENATE("bind desr = ",HEX2DEC(L5))</f>
        <v>bind desr = 2</v>
      </c>
      <c r="N5" s="1">
        <v>2</v>
      </c>
      <c r="O5" s="1" t="s">
        <v>19</v>
      </c>
      <c r="Q5" s="1">
        <v>2</v>
      </c>
      <c r="R5" s="1" t="s">
        <v>34</v>
      </c>
    </row>
    <row r="6" spans="2:18" x14ac:dyDescent="0.35">
      <c r="B6" s="1" t="s">
        <v>9</v>
      </c>
      <c r="L6" s="9">
        <v>1</v>
      </c>
      <c r="M6" s="7" t="str">
        <f>VLOOKUP(L6,N6:O9,2,TRUE)</f>
        <v>Left/front position</v>
      </c>
      <c r="N6" s="1">
        <v>0</v>
      </c>
      <c r="O6" s="1" t="s">
        <v>20</v>
      </c>
      <c r="Q6" s="1">
        <v>3</v>
      </c>
      <c r="R6" s="1" t="s">
        <v>35</v>
      </c>
    </row>
    <row r="7" spans="2:18" x14ac:dyDescent="0.35">
      <c r="B7" s="2" t="s">
        <v>4</v>
      </c>
      <c r="C7" s="10">
        <v>8.2409999999999997</v>
      </c>
      <c r="L7" s="9">
        <v>1</v>
      </c>
      <c r="M7" s="7" t="str">
        <f>VLOOKUP(L7,N9:O10,2,TRUE)</f>
        <v>Accumulate</v>
      </c>
      <c r="N7" s="1">
        <v>1</v>
      </c>
      <c r="O7" s="1" t="s">
        <v>21</v>
      </c>
      <c r="Q7" s="1">
        <v>11</v>
      </c>
      <c r="R7" s="1" t="s">
        <v>36</v>
      </c>
    </row>
    <row r="8" spans="2:18" x14ac:dyDescent="0.35">
      <c r="B8" s="2" t="s">
        <v>5</v>
      </c>
      <c r="C8" s="10">
        <v>16</v>
      </c>
      <c r="L8" s="9">
        <v>0</v>
      </c>
      <c r="M8" s="7" t="str">
        <f>VLOOKUP(L8,Q13:R17,2,TRUE)</f>
        <v>No fold</v>
      </c>
      <c r="N8" s="1">
        <v>2</v>
      </c>
      <c r="O8" s="1" t="s">
        <v>22</v>
      </c>
      <c r="Q8" s="1">
        <v>12</v>
      </c>
      <c r="R8" s="1" t="s">
        <v>37</v>
      </c>
    </row>
    <row r="9" spans="2:18" x14ac:dyDescent="0.35">
      <c r="B9" s="2" t="s">
        <v>6</v>
      </c>
      <c r="C9" s="10">
        <v>2000</v>
      </c>
      <c r="D9" s="4" t="s">
        <v>1</v>
      </c>
      <c r="E9" s="5">
        <f>(C9*PI()*C8)/(60*C7)</f>
        <v>203.31465622067179</v>
      </c>
      <c r="L9" s="9">
        <v>0</v>
      </c>
      <c r="M9" s="7" t="str">
        <f>VLOOKUP(L9,N11:O12,2,TRUE)</f>
        <v>No hole punch</v>
      </c>
      <c r="N9" s="1">
        <v>0</v>
      </c>
      <c r="O9" s="1" t="s">
        <v>23</v>
      </c>
      <c r="Q9" s="1">
        <v>13</v>
      </c>
      <c r="R9" s="1" t="s">
        <v>38</v>
      </c>
    </row>
    <row r="10" spans="2:18" x14ac:dyDescent="0.35">
      <c r="B10" s="2" t="s">
        <v>1</v>
      </c>
      <c r="C10" s="10">
        <v>153.12100000000001</v>
      </c>
      <c r="D10" s="4" t="s">
        <v>6</v>
      </c>
      <c r="E10" s="5">
        <f>(C10*C7*60)/(PI()*C8)</f>
        <v>1506.2465524748688</v>
      </c>
      <c r="F10" s="4" t="s">
        <v>8</v>
      </c>
      <c r="G10" s="6">
        <f>E10*64/60</f>
        <v>1606.6629893065267</v>
      </c>
      <c r="L10" s="9">
        <v>2</v>
      </c>
      <c r="M10" s="7" t="str">
        <f>VLOOKUP(L10,Q3:R11,2,TRUE)</f>
        <v>Top dual</v>
      </c>
      <c r="N10" s="1">
        <v>1</v>
      </c>
      <c r="O10" s="1" t="s">
        <v>24</v>
      </c>
      <c r="Q10" s="1">
        <v>14</v>
      </c>
      <c r="R10" s="1" t="s">
        <v>32</v>
      </c>
    </row>
    <row r="11" spans="2:18" x14ac:dyDescent="0.35">
      <c r="B11" s="2" t="s">
        <v>7</v>
      </c>
      <c r="C11" s="10">
        <v>64</v>
      </c>
      <c r="F11" s="4" t="s">
        <v>354</v>
      </c>
      <c r="G11" s="8">
        <f>1000000/G10</f>
        <v>622.40806358004386</v>
      </c>
      <c r="N11" s="1">
        <v>0</v>
      </c>
      <c r="O11" s="1" t="s">
        <v>25</v>
      </c>
      <c r="Q11" s="1">
        <v>15</v>
      </c>
      <c r="R11" s="1" t="s">
        <v>31</v>
      </c>
    </row>
    <row r="12" spans="2:18" x14ac:dyDescent="0.35">
      <c r="N12" s="1">
        <v>1</v>
      </c>
      <c r="O12" s="1" t="s">
        <v>26</v>
      </c>
    </row>
    <row r="13" spans="2:18" x14ac:dyDescent="0.35">
      <c r="B13" s="1" t="s">
        <v>10</v>
      </c>
      <c r="E13" s="17" t="s">
        <v>329</v>
      </c>
      <c r="F13" s="17" t="s">
        <v>328</v>
      </c>
      <c r="N13" s="1">
        <v>2</v>
      </c>
      <c r="O13" s="1" t="s">
        <v>27</v>
      </c>
      <c r="Q13" s="1">
        <v>0</v>
      </c>
      <c r="R13" s="1" t="s">
        <v>44</v>
      </c>
    </row>
    <row r="14" spans="2:18" x14ac:dyDescent="0.35">
      <c r="B14" s="2" t="s">
        <v>45</v>
      </c>
      <c r="C14" s="10">
        <v>5489</v>
      </c>
      <c r="E14" s="17" t="s">
        <v>52</v>
      </c>
      <c r="F14" s="17" t="s">
        <v>57</v>
      </c>
      <c r="N14" s="1">
        <v>3</v>
      </c>
      <c r="O14" s="1" t="s">
        <v>28</v>
      </c>
      <c r="Q14" s="1">
        <v>1</v>
      </c>
      <c r="R14" s="1" t="s">
        <v>39</v>
      </c>
    </row>
    <row r="15" spans="2:18" x14ac:dyDescent="0.35">
      <c r="B15" s="2" t="s">
        <v>45</v>
      </c>
      <c r="C15" s="10">
        <v>5435</v>
      </c>
      <c r="E15" s="17" t="s">
        <v>53</v>
      </c>
      <c r="F15" s="17" t="s">
        <v>56</v>
      </c>
      <c r="N15" s="1">
        <v>4</v>
      </c>
      <c r="O15" s="1" t="s">
        <v>29</v>
      </c>
      <c r="Q15" s="1">
        <v>2</v>
      </c>
      <c r="R15" s="1" t="s">
        <v>40</v>
      </c>
    </row>
    <row r="16" spans="2:18" x14ac:dyDescent="0.35">
      <c r="B16" s="2" t="s">
        <v>46</v>
      </c>
      <c r="C16" s="11" t="s">
        <v>449</v>
      </c>
      <c r="E16" s="17" t="s">
        <v>54</v>
      </c>
      <c r="F16" s="17" t="s">
        <v>58</v>
      </c>
      <c r="Q16" s="1">
        <v>3</v>
      </c>
      <c r="R16" s="1" t="s">
        <v>41</v>
      </c>
    </row>
    <row r="17" spans="2:18" x14ac:dyDescent="0.35">
      <c r="B17" s="2" t="s">
        <v>51</v>
      </c>
      <c r="C17" s="10">
        <v>120</v>
      </c>
      <c r="E17" s="17" t="s">
        <v>55</v>
      </c>
      <c r="F17" s="17" t="s">
        <v>59</v>
      </c>
      <c r="Q17" s="1">
        <v>4</v>
      </c>
      <c r="R17" s="1" t="s">
        <v>42</v>
      </c>
    </row>
    <row r="18" spans="2:18" x14ac:dyDescent="0.35">
      <c r="B18" s="4" t="s">
        <v>47</v>
      </c>
      <c r="C18" s="13">
        <f>((C15-C14)*((HEX2DEC(C16)/16)/1000)-C17)</f>
        <v>-140.12174999999999</v>
      </c>
      <c r="Q18" s="1">
        <v>5</v>
      </c>
      <c r="R18" s="1" t="s">
        <v>43</v>
      </c>
    </row>
    <row r="19" spans="2:18" x14ac:dyDescent="0.35">
      <c r="B19" s="2" t="s">
        <v>49</v>
      </c>
      <c r="C19" s="10">
        <v>8960</v>
      </c>
      <c r="F19" s="12"/>
      <c r="I19" s="34"/>
    </row>
    <row r="20" spans="2:18" x14ac:dyDescent="0.35">
      <c r="B20" s="2" t="s">
        <v>50</v>
      </c>
      <c r="C20" s="10">
        <v>9038</v>
      </c>
      <c r="E20" s="29"/>
    </row>
    <row r="21" spans="2:18" x14ac:dyDescent="0.35">
      <c r="B21" s="4" t="s">
        <v>48</v>
      </c>
      <c r="C21" s="13">
        <f>((C20-C19)*(HEX2DEC(C16)/16000))</f>
        <v>29.06475</v>
      </c>
      <c r="D21" s="13">
        <f>C20-C19</f>
        <v>78</v>
      </c>
      <c r="E21" s="29"/>
    </row>
    <row r="22" spans="2:18" x14ac:dyDescent="0.35">
      <c r="E22" s="29"/>
    </row>
    <row r="23" spans="2:18" x14ac:dyDescent="0.35">
      <c r="B23" s="16" t="s">
        <v>237</v>
      </c>
      <c r="C23" s="17">
        <v>250.19</v>
      </c>
      <c r="D23" s="17" t="s">
        <v>238</v>
      </c>
    </row>
    <row r="24" spans="2:18" x14ac:dyDescent="0.35">
      <c r="C24" s="17">
        <v>203.63</v>
      </c>
      <c r="D24" s="17" t="s">
        <v>239</v>
      </c>
    </row>
    <row r="25" spans="2:18" x14ac:dyDescent="0.35">
      <c r="C25" s="17">
        <v>156.31</v>
      </c>
      <c r="D25" s="17" t="s">
        <v>240</v>
      </c>
    </row>
    <row r="26" spans="2:18" x14ac:dyDescent="0.35">
      <c r="C26" s="17">
        <v>109.38</v>
      </c>
      <c r="D26" s="20" t="s">
        <v>241</v>
      </c>
    </row>
    <row r="27" spans="2:18" x14ac:dyDescent="0.35">
      <c r="B27" s="39" t="s">
        <v>242</v>
      </c>
      <c r="C27" s="40"/>
      <c r="D27" s="39" t="s">
        <v>243</v>
      </c>
      <c r="E27" s="40"/>
    </row>
    <row r="28" spans="2:18" x14ac:dyDescent="0.35">
      <c r="B28" s="19">
        <v>1890</v>
      </c>
      <c r="C28" s="18">
        <f>B28*C23/1000</f>
        <v>472.85909999999996</v>
      </c>
      <c r="D28" s="19">
        <v>40</v>
      </c>
      <c r="E28" s="18">
        <f>D28/C23*1000</f>
        <v>159.87849234581719</v>
      </c>
    </row>
    <row r="29" spans="2:18" x14ac:dyDescent="0.35">
      <c r="B29" s="19">
        <v>608</v>
      </c>
      <c r="C29" s="18">
        <f>B29*C24/1000</f>
        <v>123.80704</v>
      </c>
      <c r="D29" s="19">
        <v>45</v>
      </c>
      <c r="E29" s="18">
        <f>D29/C24*1000</f>
        <v>220.98904876491676</v>
      </c>
    </row>
    <row r="30" spans="2:18" x14ac:dyDescent="0.35">
      <c r="B30" s="19">
        <v>224</v>
      </c>
      <c r="C30" s="18">
        <f>B30*C25/1000</f>
        <v>35.013440000000003</v>
      </c>
      <c r="D30" s="19">
        <v>36</v>
      </c>
      <c r="E30" s="18">
        <f>D30/C25*1000</f>
        <v>230.31156036082146</v>
      </c>
    </row>
    <row r="31" spans="2:18" x14ac:dyDescent="0.35">
      <c r="B31" s="19">
        <v>790</v>
      </c>
      <c r="C31" s="18">
        <f>B31*C26/1000</f>
        <v>86.410200000000003</v>
      </c>
      <c r="D31" s="19">
        <v>50</v>
      </c>
      <c r="E31" s="18">
        <f>D31/C26*1000</f>
        <v>457.12196013896511</v>
      </c>
    </row>
  </sheetData>
  <mergeCells count="2">
    <mergeCell ref="B27:C27"/>
    <mergeCell ref="D27:E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B147-C9E3-44DA-A815-45E59188673C}">
  <dimension ref="B1:X31"/>
  <sheetViews>
    <sheetView tabSelected="1" topLeftCell="F1" zoomScaleNormal="100" workbookViewId="0">
      <selection activeCell="L3" sqref="L3"/>
    </sheetView>
  </sheetViews>
  <sheetFormatPr defaultColWidth="9.1796875" defaultRowHeight="14.5" x14ac:dyDescent="0.35"/>
  <cols>
    <col min="1" max="1" width="3.54296875" style="1" customWidth="1"/>
    <col min="2" max="2" width="19.54296875" style="1" customWidth="1"/>
    <col min="3" max="3" width="12.26953125" style="1" bestFit="1" customWidth="1"/>
    <col min="4" max="4" width="13.453125" style="1" customWidth="1"/>
    <col min="5" max="5" width="10" style="1" customWidth="1"/>
    <col min="6" max="6" width="13" style="1" customWidth="1"/>
    <col min="7" max="7" width="13.7265625" style="1" customWidth="1"/>
    <col min="8" max="12" width="9.1796875" style="1"/>
    <col min="13" max="13" width="23.7265625" style="1" customWidth="1"/>
    <col min="14" max="16384" width="9.1796875" style="1"/>
  </cols>
  <sheetData>
    <row r="1" spans="2:18" x14ac:dyDescent="0.35">
      <c r="B1" s="1" t="s">
        <v>3</v>
      </c>
      <c r="F1" s="1" t="s">
        <v>12</v>
      </c>
      <c r="I1" s="1" t="s">
        <v>15</v>
      </c>
      <c r="L1" s="1" t="s">
        <v>16</v>
      </c>
    </row>
    <row r="2" spans="2:18" x14ac:dyDescent="0.35">
      <c r="B2" s="3" t="s">
        <v>0</v>
      </c>
      <c r="C2" s="23" t="s">
        <v>470</v>
      </c>
      <c r="F2" s="2" t="s">
        <v>13</v>
      </c>
      <c r="G2" s="23" t="s">
        <v>469</v>
      </c>
      <c r="I2" s="2" t="s">
        <v>14</v>
      </c>
      <c r="J2" s="9">
        <v>2750</v>
      </c>
      <c r="L2" s="9">
        <v>9</v>
      </c>
    </row>
    <row r="3" spans="2:18" x14ac:dyDescent="0.35">
      <c r="B3" s="4" t="s">
        <v>11</v>
      </c>
      <c r="C3" s="7">
        <f>HEX2DEC(C2)/16</f>
        <v>171.875</v>
      </c>
      <c r="F3" s="4" t="s">
        <v>14</v>
      </c>
      <c r="G3" s="7">
        <f>HEX2DEC(G2)</f>
        <v>925</v>
      </c>
      <c r="I3" s="4" t="s">
        <v>13</v>
      </c>
      <c r="J3" s="7" t="str">
        <f>DEC2HEX(J2)</f>
        <v>ABE</v>
      </c>
      <c r="L3" s="9" t="s">
        <v>73</v>
      </c>
      <c r="M3" s="7" t="e">
        <f>VLOOKUP(L3,N3:O6,2,TRUE)</f>
        <v>#N/A</v>
      </c>
      <c r="N3" s="1">
        <v>0</v>
      </c>
      <c r="O3" s="1" t="s">
        <v>17</v>
      </c>
      <c r="Q3" s="1">
        <v>0</v>
      </c>
      <c r="R3" s="1" t="s">
        <v>30</v>
      </c>
    </row>
    <row r="4" spans="2:18" x14ac:dyDescent="0.35">
      <c r="B4" s="4" t="s">
        <v>2</v>
      </c>
      <c r="C4" s="8">
        <f>C3*80/385</f>
        <v>35.714285714285715</v>
      </c>
      <c r="L4" s="9">
        <v>42</v>
      </c>
      <c r="M4" s="7" t="str">
        <f>CONCATENATE("page ID = ",HEX2DEC(L4))</f>
        <v>page ID = 66</v>
      </c>
      <c r="N4" s="1">
        <v>1</v>
      </c>
      <c r="O4" s="1" t="s">
        <v>18</v>
      </c>
      <c r="Q4" s="1">
        <v>1</v>
      </c>
      <c r="R4" s="1" t="s">
        <v>33</v>
      </c>
    </row>
    <row r="5" spans="2:18" x14ac:dyDescent="0.35">
      <c r="G5" s="33"/>
      <c r="L5" s="9">
        <v>3</v>
      </c>
      <c r="M5" s="7" t="str">
        <f>CONCATENATE("bind desr = ",HEX2DEC(L5))</f>
        <v>bind desr = 3</v>
      </c>
      <c r="N5" s="1">
        <v>2</v>
      </c>
      <c r="O5" s="1" t="s">
        <v>19</v>
      </c>
      <c r="Q5" s="1">
        <v>2</v>
      </c>
      <c r="R5" s="1" t="s">
        <v>34</v>
      </c>
    </row>
    <row r="6" spans="2:18" x14ac:dyDescent="0.35">
      <c r="B6" s="1" t="s">
        <v>9</v>
      </c>
      <c r="L6" s="9">
        <v>0</v>
      </c>
      <c r="M6" s="7" t="str">
        <f>VLOOKUP(L6,N6:O9,2,TRUE)</f>
        <v>Default position</v>
      </c>
      <c r="N6" s="1">
        <v>0</v>
      </c>
      <c r="O6" s="1" t="s">
        <v>20</v>
      </c>
      <c r="Q6" s="1">
        <v>3</v>
      </c>
      <c r="R6" s="1" t="s">
        <v>35</v>
      </c>
    </row>
    <row r="7" spans="2:18" x14ac:dyDescent="0.35">
      <c r="B7" s="2" t="s">
        <v>4</v>
      </c>
      <c r="C7" s="10">
        <v>179.708</v>
      </c>
      <c r="L7" s="9">
        <v>1</v>
      </c>
      <c r="M7" s="7" t="str">
        <f>VLOOKUP(L7,N9:O10,2,TRUE)</f>
        <v>Accumulate</v>
      </c>
      <c r="N7" s="1">
        <v>1</v>
      </c>
      <c r="O7" s="1" t="s">
        <v>21</v>
      </c>
      <c r="Q7" s="1">
        <v>11</v>
      </c>
      <c r="R7" s="1" t="s">
        <v>36</v>
      </c>
    </row>
    <row r="8" spans="2:18" x14ac:dyDescent="0.35">
      <c r="B8" s="2" t="s">
        <v>5</v>
      </c>
      <c r="C8" s="10">
        <v>18</v>
      </c>
      <c r="L8" s="9">
        <v>2</v>
      </c>
      <c r="M8" s="7" t="str">
        <f>VLOOKUP(L8,Q13:R17,2,TRUE)</f>
        <v>Booklet</v>
      </c>
      <c r="N8" s="1">
        <v>2</v>
      </c>
      <c r="O8" s="1" t="s">
        <v>22</v>
      </c>
      <c r="Q8" s="1">
        <v>12</v>
      </c>
      <c r="R8" s="1" t="s">
        <v>37</v>
      </c>
    </row>
    <row r="9" spans="2:18" x14ac:dyDescent="0.35">
      <c r="B9" s="2" t="s">
        <v>6</v>
      </c>
      <c r="C9" s="36">
        <v>2000</v>
      </c>
      <c r="D9" s="4" t="s">
        <v>1</v>
      </c>
      <c r="E9" s="5">
        <f>(C9*PI()*C8)/(60*C7)</f>
        <v>10.488990986232531</v>
      </c>
      <c r="L9" s="9">
        <v>0</v>
      </c>
      <c r="M9" s="7" t="str">
        <f>VLOOKUP(L9,N11:O12,2,TRUE)</f>
        <v>No hole punch</v>
      </c>
      <c r="N9" s="1">
        <v>0</v>
      </c>
      <c r="O9" s="1" t="s">
        <v>23</v>
      </c>
      <c r="Q9" s="1">
        <v>13</v>
      </c>
      <c r="R9" s="1" t="s">
        <v>38</v>
      </c>
    </row>
    <row r="10" spans="2:18" x14ac:dyDescent="0.35">
      <c r="B10" s="2" t="s">
        <v>1</v>
      </c>
      <c r="C10" s="36">
        <v>310</v>
      </c>
      <c r="D10" s="4" t="s">
        <v>6</v>
      </c>
      <c r="E10" s="5">
        <f>(C10*C7*60)/(PI()*C8)</f>
        <v>59109.594127193872</v>
      </c>
      <c r="F10" s="4" t="s">
        <v>8</v>
      </c>
      <c r="G10" s="6">
        <f>E10*64/60</f>
        <v>63050.233735673464</v>
      </c>
      <c r="L10" s="9">
        <v>2</v>
      </c>
      <c r="M10" s="7" t="str">
        <f>VLOOKUP(L10,Q3:R11,2,TRUE)</f>
        <v>Top dual</v>
      </c>
      <c r="N10" s="1">
        <v>1</v>
      </c>
      <c r="O10" s="1" t="s">
        <v>24</v>
      </c>
      <c r="Q10" s="1">
        <v>14</v>
      </c>
      <c r="R10" s="1" t="s">
        <v>32</v>
      </c>
    </row>
    <row r="11" spans="2:18" x14ac:dyDescent="0.35">
      <c r="B11" s="2" t="s">
        <v>7</v>
      </c>
      <c r="C11" s="10">
        <v>64</v>
      </c>
      <c r="F11" s="4" t="s">
        <v>354</v>
      </c>
      <c r="G11" s="8">
        <f>1000000/G10</f>
        <v>15.860369434827419</v>
      </c>
      <c r="N11" s="1">
        <v>0</v>
      </c>
      <c r="O11" s="1" t="s">
        <v>25</v>
      </c>
      <c r="Q11" s="1">
        <v>15</v>
      </c>
      <c r="R11" s="1" t="s">
        <v>31</v>
      </c>
    </row>
    <row r="12" spans="2:18" x14ac:dyDescent="0.35">
      <c r="N12" s="1">
        <v>1</v>
      </c>
      <c r="O12" s="1" t="s">
        <v>26</v>
      </c>
    </row>
    <row r="13" spans="2:18" x14ac:dyDescent="0.35">
      <c r="B13" s="1" t="s">
        <v>10</v>
      </c>
      <c r="E13" s="17" t="s">
        <v>329</v>
      </c>
      <c r="F13" s="17" t="s">
        <v>328</v>
      </c>
      <c r="N13" s="1">
        <v>2</v>
      </c>
      <c r="O13" s="1" t="s">
        <v>27</v>
      </c>
      <c r="Q13" s="1">
        <v>0</v>
      </c>
      <c r="R13" s="1" t="s">
        <v>44</v>
      </c>
    </row>
    <row r="14" spans="2:18" x14ac:dyDescent="0.35">
      <c r="B14" s="2" t="s">
        <v>45</v>
      </c>
      <c r="C14" s="10">
        <v>62587</v>
      </c>
      <c r="E14" s="17" t="s">
        <v>52</v>
      </c>
      <c r="F14" s="17" t="s">
        <v>57</v>
      </c>
      <c r="N14" s="1">
        <v>3</v>
      </c>
      <c r="O14" s="1" t="s">
        <v>28</v>
      </c>
      <c r="Q14" s="1">
        <v>1</v>
      </c>
      <c r="R14" s="1" t="s">
        <v>39</v>
      </c>
    </row>
    <row r="15" spans="2:18" x14ac:dyDescent="0.35">
      <c r="B15" s="2" t="s">
        <v>45</v>
      </c>
      <c r="C15" s="10">
        <v>65179</v>
      </c>
      <c r="E15" s="17" t="s">
        <v>53</v>
      </c>
      <c r="F15" s="17" t="s">
        <v>56</v>
      </c>
      <c r="N15" s="1">
        <v>4</v>
      </c>
      <c r="O15" s="1" t="s">
        <v>29</v>
      </c>
      <c r="Q15" s="1">
        <v>2</v>
      </c>
      <c r="R15" s="1" t="s">
        <v>40</v>
      </c>
    </row>
    <row r="16" spans="2:18" x14ac:dyDescent="0.35">
      <c r="B16" s="2" t="s">
        <v>46</v>
      </c>
      <c r="C16" s="11" t="s">
        <v>452</v>
      </c>
      <c r="E16" s="17" t="s">
        <v>54</v>
      </c>
      <c r="F16" s="17" t="s">
        <v>58</v>
      </c>
      <c r="L16" s="1" t="s">
        <v>462</v>
      </c>
      <c r="M16" s="1">
        <v>311.88</v>
      </c>
      <c r="Q16" s="1">
        <v>3</v>
      </c>
      <c r="R16" s="1" t="s">
        <v>41</v>
      </c>
    </row>
    <row r="17" spans="2:24" x14ac:dyDescent="0.35">
      <c r="B17" s="2" t="s">
        <v>51</v>
      </c>
      <c r="C17" s="10">
        <v>356</v>
      </c>
      <c r="E17" s="17" t="s">
        <v>55</v>
      </c>
      <c r="F17" s="17" t="s">
        <v>59</v>
      </c>
      <c r="L17" s="1" t="s">
        <v>459</v>
      </c>
      <c r="M17" s="1">
        <v>48.35</v>
      </c>
      <c r="Q17" s="1">
        <v>4</v>
      </c>
      <c r="R17" s="1" t="s">
        <v>42</v>
      </c>
    </row>
    <row r="18" spans="2:24" x14ac:dyDescent="0.35">
      <c r="B18" s="4" t="s">
        <v>47</v>
      </c>
      <c r="C18" s="13">
        <f>((C15-C14)*((HEX2DEC(C16)/16)/1000)-C17)</f>
        <v>452.38</v>
      </c>
      <c r="L18" s="1" t="s">
        <v>460</v>
      </c>
      <c r="M18" s="1">
        <v>21.49</v>
      </c>
      <c r="Q18" s="1">
        <v>5</v>
      </c>
      <c r="R18" s="1" t="s">
        <v>43</v>
      </c>
    </row>
    <row r="19" spans="2:24" x14ac:dyDescent="0.35">
      <c r="B19" s="2" t="s">
        <v>49</v>
      </c>
      <c r="C19" s="10">
        <v>711</v>
      </c>
      <c r="F19" s="12"/>
      <c r="I19" s="37"/>
      <c r="J19" s="37"/>
      <c r="K19" s="37"/>
      <c r="M19" s="1" t="s">
        <v>458</v>
      </c>
      <c r="N19" s="1" t="s">
        <v>457</v>
      </c>
      <c r="P19" s="1" t="s">
        <v>463</v>
      </c>
      <c r="R19" s="1" t="s">
        <v>464</v>
      </c>
      <c r="S19" s="1" t="s">
        <v>468</v>
      </c>
    </row>
    <row r="20" spans="2:24" x14ac:dyDescent="0.35">
      <c r="B20" s="2" t="s">
        <v>50</v>
      </c>
      <c r="C20" s="10">
        <v>864</v>
      </c>
      <c r="E20" s="29"/>
      <c r="K20" s="1" t="s">
        <v>461</v>
      </c>
      <c r="M20" s="33">
        <f>L23-L22</f>
        <v>183</v>
      </c>
      <c r="N20" s="33">
        <f>M17/M16 *1000</f>
        <v>155.02757470822112</v>
      </c>
      <c r="P20" s="29">
        <f>M20*M16/1000</f>
        <v>57.074040000000004</v>
      </c>
      <c r="R20" s="29">
        <f>P20-M17</f>
        <v>8.7240400000000022</v>
      </c>
      <c r="S20" s="29">
        <f>15-R20</f>
        <v>6.2759599999999978</v>
      </c>
    </row>
    <row r="21" spans="2:24" x14ac:dyDescent="0.35">
      <c r="B21" s="4" t="s">
        <v>48</v>
      </c>
      <c r="C21" s="13">
        <f>((C20-C19)*(HEX2DEC(C16)/16000))</f>
        <v>47.716875000000002</v>
      </c>
      <c r="D21" s="13">
        <f>C20-C19</f>
        <v>153</v>
      </c>
      <c r="E21" s="29"/>
      <c r="F21" s="1" t="s">
        <v>66</v>
      </c>
      <c r="G21" s="1" t="s">
        <v>283</v>
      </c>
      <c r="K21" s="1" t="s">
        <v>460</v>
      </c>
      <c r="M21" s="33">
        <f>L24-L23</f>
        <v>100</v>
      </c>
      <c r="N21" s="33">
        <f>M18/M16*1000</f>
        <v>68.904706938566108</v>
      </c>
      <c r="P21" s="29">
        <f>M21*M16/1000</f>
        <v>31.187999999999999</v>
      </c>
      <c r="R21" s="29">
        <f>P21-M18-S20</f>
        <v>3.4220400000000026</v>
      </c>
    </row>
    <row r="22" spans="2:24" x14ac:dyDescent="0.35">
      <c r="E22" s="29"/>
      <c r="F22" s="1" t="s">
        <v>452</v>
      </c>
      <c r="G22" s="1">
        <v>110</v>
      </c>
      <c r="H22">
        <v>272</v>
      </c>
      <c r="K22" s="2" t="s">
        <v>465</v>
      </c>
      <c r="L22" s="8">
        <v>7326</v>
      </c>
      <c r="R22" s="29"/>
    </row>
    <row r="23" spans="2:24" x14ac:dyDescent="0.35">
      <c r="B23" s="16" t="s">
        <v>237</v>
      </c>
      <c r="C23" s="17">
        <v>250.19</v>
      </c>
      <c r="D23" s="17" t="s">
        <v>238</v>
      </c>
      <c r="H23" s="35"/>
      <c r="K23" s="2" t="s">
        <v>466</v>
      </c>
      <c r="L23" s="8">
        <v>7509</v>
      </c>
      <c r="N23" s="35"/>
    </row>
    <row r="24" spans="2:24" x14ac:dyDescent="0.35">
      <c r="C24" s="17">
        <v>203.63</v>
      </c>
      <c r="D24" s="17" t="s">
        <v>239</v>
      </c>
      <c r="H24" s="35"/>
      <c r="K24" s="2" t="s">
        <v>467</v>
      </c>
      <c r="L24" s="8">
        <v>7609</v>
      </c>
      <c r="N24" s="35"/>
    </row>
    <row r="25" spans="2:24" x14ac:dyDescent="0.35">
      <c r="C25" s="17">
        <v>156.31</v>
      </c>
      <c r="D25" s="17" t="s">
        <v>240</v>
      </c>
      <c r="F25" s="1" t="s">
        <v>451</v>
      </c>
      <c r="G25" s="1" t="s">
        <v>454</v>
      </c>
      <c r="H25" s="35">
        <v>542</v>
      </c>
      <c r="N25" s="38">
        <v>5.6052399999999949</v>
      </c>
      <c r="O25" s="29">
        <v>14.961639999999996</v>
      </c>
      <c r="P25" s="29">
        <v>9.0359199999999973</v>
      </c>
      <c r="Q25" s="29">
        <v>13.714120000000001</v>
      </c>
      <c r="R25" s="29">
        <v>13.714120000000001</v>
      </c>
      <c r="S25" s="29">
        <v>8.7240400000000022</v>
      </c>
      <c r="T25" s="29">
        <v>12.778479999999995</v>
      </c>
      <c r="U25" s="29">
        <v>10.907199999999996</v>
      </c>
      <c r="V25" s="29">
        <v>9.0359199999999973</v>
      </c>
      <c r="W25" s="29">
        <v>8.7240400000000022</v>
      </c>
      <c r="X25" s="29">
        <f>AVERAGE(N25:W25)</f>
        <v>10.720071999999998</v>
      </c>
    </row>
    <row r="26" spans="2:24" x14ac:dyDescent="0.35">
      <c r="C26" s="17">
        <v>109.38</v>
      </c>
      <c r="D26" s="20" t="s">
        <v>241</v>
      </c>
      <c r="F26" s="1" t="s">
        <v>455</v>
      </c>
      <c r="G26" t="s">
        <v>456</v>
      </c>
      <c r="H26" s="35">
        <v>746</v>
      </c>
      <c r="N26" s="38">
        <v>3.4220399999999991</v>
      </c>
      <c r="O26" s="29">
        <v>6.5</v>
      </c>
      <c r="P26" s="29">
        <v>3.4</v>
      </c>
      <c r="Q26" s="29">
        <v>6.2289600000000043</v>
      </c>
      <c r="R26" s="29">
        <v>6.2289600000000043</v>
      </c>
      <c r="S26" s="29">
        <v>3.4220400000000026</v>
      </c>
      <c r="T26" s="29">
        <v>6.5408399999999958</v>
      </c>
      <c r="U26" s="29">
        <v>3.4220399999999991</v>
      </c>
      <c r="V26" s="29">
        <v>3.4220399999999991</v>
      </c>
      <c r="W26" s="29">
        <v>3.4220400000000026</v>
      </c>
      <c r="X26" s="29">
        <f>AVERAGE(N26:W26)</f>
        <v>4.6008959999999997</v>
      </c>
    </row>
    <row r="27" spans="2:24" x14ac:dyDescent="0.35">
      <c r="B27" s="39" t="s">
        <v>242</v>
      </c>
      <c r="C27" s="40"/>
      <c r="D27" s="39" t="s">
        <v>243</v>
      </c>
      <c r="E27" s="40"/>
      <c r="H27" s="35"/>
      <c r="N27" s="38"/>
      <c r="O27" s="29"/>
      <c r="P27" s="29"/>
      <c r="Q27" s="29"/>
      <c r="R27" s="29"/>
      <c r="S27" s="29"/>
      <c r="T27" s="29"/>
    </row>
    <row r="28" spans="2:24" x14ac:dyDescent="0.35">
      <c r="B28" s="19">
        <v>1890</v>
      </c>
      <c r="C28" s="18">
        <f>B28*C23/1000</f>
        <v>472.85909999999996</v>
      </c>
      <c r="D28" s="19">
        <v>40</v>
      </c>
      <c r="E28" s="18">
        <f>D28/C23*1000</f>
        <v>159.87849234581719</v>
      </c>
      <c r="H28" s="35"/>
    </row>
    <row r="29" spans="2:24" x14ac:dyDescent="0.35">
      <c r="B29" s="19">
        <v>608</v>
      </c>
      <c r="C29" s="18">
        <f>B29*C24/1000</f>
        <v>123.80704</v>
      </c>
      <c r="D29" s="19">
        <v>45</v>
      </c>
      <c r="E29" s="18">
        <f>D29/C24*1000</f>
        <v>220.98904876491676</v>
      </c>
      <c r="H29" s="35"/>
    </row>
    <row r="30" spans="2:24" x14ac:dyDescent="0.35">
      <c r="B30" s="19">
        <v>224</v>
      </c>
      <c r="C30" s="18">
        <f>B30*C25/1000</f>
        <v>35.013440000000003</v>
      </c>
      <c r="D30" s="19">
        <v>36</v>
      </c>
      <c r="E30" s="18">
        <f>D30/C25*1000</f>
        <v>230.31156036082146</v>
      </c>
    </row>
    <row r="31" spans="2:24" x14ac:dyDescent="0.35">
      <c r="B31" s="19">
        <v>790</v>
      </c>
      <c r="C31" s="18">
        <f>B31*C26/1000</f>
        <v>86.410200000000003</v>
      </c>
      <c r="D31" s="19">
        <v>50</v>
      </c>
      <c r="E31" s="18">
        <f>D31/C26*1000</f>
        <v>457.12196013896511</v>
      </c>
    </row>
  </sheetData>
  <mergeCells count="2">
    <mergeCell ref="B27:C27"/>
    <mergeCell ref="D27:E27"/>
  </mergeCells>
  <pageMargins left="0.7" right="0.7" top="0.75" bottom="0.75" header="0.3" footer="0.3"/>
  <pageSetup orientation="portrait" r:id="rId1"/>
  <ignoredErrors>
    <ignoredError sqref="M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000D-28CA-42A0-A8C2-AC067754B65D}">
  <dimension ref="A1:Q50"/>
  <sheetViews>
    <sheetView topLeftCell="A10" workbookViewId="0">
      <selection activeCell="B25" sqref="B25"/>
    </sheetView>
  </sheetViews>
  <sheetFormatPr defaultColWidth="8.7265625" defaultRowHeight="14.5" x14ac:dyDescent="0.35"/>
  <cols>
    <col min="2" max="2" width="28" customWidth="1"/>
    <col min="3" max="3" width="31.1796875" customWidth="1"/>
    <col min="4" max="4" width="9.1796875" customWidth="1"/>
    <col min="5" max="5" width="16.54296875" bestFit="1" customWidth="1"/>
    <col min="6" max="6" width="9.26953125" customWidth="1"/>
    <col min="7" max="7" width="29.26953125" bestFit="1" customWidth="1"/>
    <col min="9" max="9" width="35.453125" bestFit="1" customWidth="1"/>
    <col min="11" max="11" width="32.7265625" bestFit="1" customWidth="1"/>
    <col min="13" max="13" width="23" bestFit="1" customWidth="1"/>
    <col min="15" max="15" width="23" bestFit="1" customWidth="1"/>
    <col min="16" max="16" width="8.54296875" customWidth="1"/>
    <col min="17" max="17" width="24" bestFit="1" customWidth="1"/>
  </cols>
  <sheetData>
    <row r="1" spans="2:11" x14ac:dyDescent="0.35">
      <c r="B1" t="s">
        <v>16</v>
      </c>
    </row>
    <row r="2" spans="2:11" x14ac:dyDescent="0.35">
      <c r="B2" s="14">
        <v>9</v>
      </c>
    </row>
    <row r="3" spans="2:11" x14ac:dyDescent="0.35">
      <c r="B3" s="14">
        <v>0</v>
      </c>
      <c r="C3" s="15" t="str">
        <f>VLOOKUP(B3,D3:E6,2,TRUE)</f>
        <v>Submit new page</v>
      </c>
      <c r="D3">
        <v>0</v>
      </c>
      <c r="E3" t="s">
        <v>17</v>
      </c>
      <c r="F3">
        <v>0</v>
      </c>
      <c r="G3" t="s">
        <v>313</v>
      </c>
      <c r="H3">
        <v>0</v>
      </c>
      <c r="I3" t="s">
        <v>320</v>
      </c>
      <c r="K3" t="s">
        <v>302</v>
      </c>
    </row>
    <row r="4" spans="2:11" x14ac:dyDescent="0.35">
      <c r="B4" s="14" t="s">
        <v>453</v>
      </c>
      <c r="C4" s="15" t="str">
        <f>CONCATENATE("page ID = ",HEX2DEC(B4))</f>
        <v>page ID = 12</v>
      </c>
      <c r="D4">
        <v>1</v>
      </c>
      <c r="E4" t="s">
        <v>18</v>
      </c>
      <c r="F4">
        <v>1</v>
      </c>
      <c r="G4" t="s">
        <v>314</v>
      </c>
      <c r="H4">
        <v>1</v>
      </c>
      <c r="I4" t="s">
        <v>321</v>
      </c>
      <c r="K4" t="s">
        <v>286</v>
      </c>
    </row>
    <row r="5" spans="2:11" x14ac:dyDescent="0.35">
      <c r="B5" s="14">
        <v>2</v>
      </c>
      <c r="C5" s="15" t="str">
        <f>CONCATENATE("bin dest = ",HEX2DEC(B5))</f>
        <v>bin dest = 2</v>
      </c>
      <c r="D5">
        <v>2</v>
      </c>
      <c r="E5" t="s">
        <v>19</v>
      </c>
      <c r="F5">
        <v>2</v>
      </c>
      <c r="G5" t="s">
        <v>315</v>
      </c>
      <c r="H5">
        <v>2</v>
      </c>
      <c r="I5" t="s">
        <v>322</v>
      </c>
      <c r="K5" t="s">
        <v>303</v>
      </c>
    </row>
    <row r="6" spans="2:11" x14ac:dyDescent="0.35">
      <c r="B6" s="14">
        <v>0</v>
      </c>
      <c r="C6" s="15" t="str">
        <f>VLOOKUP(B6,D6:E9,2,TRUE)</f>
        <v>Default position</v>
      </c>
      <c r="D6">
        <v>0</v>
      </c>
      <c r="E6" t="s">
        <v>20</v>
      </c>
      <c r="F6">
        <v>3</v>
      </c>
      <c r="G6" t="s">
        <v>316</v>
      </c>
      <c r="H6">
        <v>3</v>
      </c>
      <c r="I6" t="s">
        <v>323</v>
      </c>
      <c r="K6" t="s">
        <v>287</v>
      </c>
    </row>
    <row r="7" spans="2:11" x14ac:dyDescent="0.35">
      <c r="B7" s="14">
        <v>1</v>
      </c>
      <c r="C7" s="15" t="str">
        <f>VLOOKUP(B7,D9:E10,2,TRUE)</f>
        <v>Accumulate</v>
      </c>
      <c r="D7">
        <v>1</v>
      </c>
      <c r="E7" t="s">
        <v>21</v>
      </c>
      <c r="F7">
        <v>11</v>
      </c>
      <c r="G7" t="s">
        <v>319</v>
      </c>
      <c r="H7">
        <v>4</v>
      </c>
      <c r="I7" t="s">
        <v>324</v>
      </c>
      <c r="K7" t="s">
        <v>288</v>
      </c>
    </row>
    <row r="8" spans="2:11" x14ac:dyDescent="0.35">
      <c r="B8" s="14">
        <v>0</v>
      </c>
      <c r="C8" s="15" t="str">
        <f>VLOOKUP(B8,H3:I10,2,TRUE)</f>
        <v>No Fold</v>
      </c>
      <c r="D8">
        <v>2</v>
      </c>
      <c r="E8" t="s">
        <v>22</v>
      </c>
      <c r="F8">
        <v>14</v>
      </c>
      <c r="G8" t="s">
        <v>318</v>
      </c>
      <c r="H8">
        <v>5</v>
      </c>
      <c r="I8" t="s">
        <v>325</v>
      </c>
      <c r="K8" t="s">
        <v>289</v>
      </c>
    </row>
    <row r="9" spans="2:11" x14ac:dyDescent="0.35">
      <c r="B9" s="14">
        <v>0</v>
      </c>
      <c r="C9" s="15" t="str">
        <f>VLOOKUP(B9,D11:E15,2,TRUE)</f>
        <v>No hole punch</v>
      </c>
      <c r="D9">
        <v>0</v>
      </c>
      <c r="E9" t="s">
        <v>23</v>
      </c>
      <c r="F9">
        <v>15</v>
      </c>
      <c r="G9" t="s">
        <v>317</v>
      </c>
      <c r="H9">
        <v>6</v>
      </c>
      <c r="I9" t="s">
        <v>326</v>
      </c>
      <c r="K9" t="s">
        <v>290</v>
      </c>
    </row>
    <row r="10" spans="2:11" x14ac:dyDescent="0.35">
      <c r="B10" s="14">
        <v>2</v>
      </c>
      <c r="C10" s="15" t="str">
        <f>VLOOKUP(B10,F3:G9,2,TRUE)</f>
        <v>Top Dual</v>
      </c>
      <c r="D10">
        <v>1</v>
      </c>
      <c r="E10" t="s">
        <v>24</v>
      </c>
      <c r="H10">
        <v>7</v>
      </c>
      <c r="I10" t="s">
        <v>327</v>
      </c>
      <c r="K10" t="s">
        <v>291</v>
      </c>
    </row>
    <row r="11" spans="2:11" x14ac:dyDescent="0.35">
      <c r="D11">
        <v>0</v>
      </c>
      <c r="E11" t="s">
        <v>25</v>
      </c>
      <c r="K11" t="s">
        <v>292</v>
      </c>
    </row>
    <row r="12" spans="2:11" x14ac:dyDescent="0.35">
      <c r="D12">
        <v>1</v>
      </c>
      <c r="E12" t="s">
        <v>26</v>
      </c>
      <c r="K12" t="s">
        <v>293</v>
      </c>
    </row>
    <row r="13" spans="2:11" x14ac:dyDescent="0.35">
      <c r="D13">
        <v>2</v>
      </c>
      <c r="E13" t="s">
        <v>27</v>
      </c>
      <c r="K13" t="s">
        <v>294</v>
      </c>
    </row>
    <row r="14" spans="2:11" x14ac:dyDescent="0.35">
      <c r="D14">
        <v>3</v>
      </c>
      <c r="E14" t="s">
        <v>28</v>
      </c>
    </row>
    <row r="15" spans="2:11" x14ac:dyDescent="0.35">
      <c r="D15">
        <v>4</v>
      </c>
      <c r="E15" t="s">
        <v>29</v>
      </c>
    </row>
    <row r="17" spans="1:17" x14ac:dyDescent="0.35">
      <c r="L17" t="s">
        <v>191</v>
      </c>
      <c r="N17" t="s">
        <v>233</v>
      </c>
      <c r="P17" t="s">
        <v>192</v>
      </c>
    </row>
    <row r="18" spans="1:17" x14ac:dyDescent="0.35">
      <c r="A18" t="s">
        <v>74</v>
      </c>
      <c r="B18" s="14">
        <v>22</v>
      </c>
      <c r="C18" s="15" t="str">
        <f>VLOOKUP(B18,D18:E35,2,TRUE)</f>
        <v>STOP_MODULE</v>
      </c>
      <c r="D18">
        <v>0</v>
      </c>
      <c r="E18" t="s">
        <v>75</v>
      </c>
      <c r="F18">
        <v>0</v>
      </c>
      <c r="G18" t="s">
        <v>384</v>
      </c>
      <c r="H18">
        <v>0</v>
      </c>
      <c r="I18" t="s">
        <v>447</v>
      </c>
      <c r="J18">
        <v>0</v>
      </c>
      <c r="K18" t="s">
        <v>448</v>
      </c>
      <c r="L18" t="s">
        <v>97</v>
      </c>
      <c r="M18" t="s">
        <v>96</v>
      </c>
      <c r="N18" t="s">
        <v>145</v>
      </c>
      <c r="O18" t="s">
        <v>144</v>
      </c>
      <c r="P18" t="s">
        <v>185</v>
      </c>
      <c r="Q18" t="s">
        <v>193</v>
      </c>
    </row>
    <row r="19" spans="1:17" x14ac:dyDescent="0.35">
      <c r="A19" t="s">
        <v>93</v>
      </c>
      <c r="B19" s="14">
        <v>24</v>
      </c>
      <c r="C19" s="15" t="str">
        <f>VLOOKUP(B19,F18:G50,2,TRUE)</f>
        <v>FIN_W_EJECT_BLANKING,</v>
      </c>
      <c r="D19">
        <v>1</v>
      </c>
      <c r="E19" t="s">
        <v>76</v>
      </c>
      <c r="F19">
        <v>1</v>
      </c>
      <c r="G19" t="s">
        <v>385</v>
      </c>
      <c r="H19">
        <v>1</v>
      </c>
      <c r="I19" t="s">
        <v>386</v>
      </c>
      <c r="J19">
        <v>1</v>
      </c>
      <c r="K19" t="s">
        <v>387</v>
      </c>
      <c r="L19" t="s">
        <v>99</v>
      </c>
      <c r="M19" t="s">
        <v>98</v>
      </c>
      <c r="N19" t="s">
        <v>101</v>
      </c>
      <c r="O19" t="s">
        <v>146</v>
      </c>
      <c r="P19" t="s">
        <v>195</v>
      </c>
      <c r="Q19" t="s">
        <v>194</v>
      </c>
    </row>
    <row r="20" spans="1:17" x14ac:dyDescent="0.35">
      <c r="A20" t="s">
        <v>94</v>
      </c>
      <c r="B20" s="14">
        <v>6</v>
      </c>
      <c r="C20" s="15" t="str">
        <f>VLOOKUP(B20,H18:I50,2,TRUE)</f>
        <v>LE_W_FEED_AT_PROCESS_SPD_CTRL,</v>
      </c>
      <c r="D20">
        <v>2</v>
      </c>
      <c r="E20" t="s">
        <v>77</v>
      </c>
      <c r="F20">
        <v>2</v>
      </c>
      <c r="G20" t="s">
        <v>388</v>
      </c>
      <c r="H20">
        <v>2</v>
      </c>
      <c r="I20" t="s">
        <v>389</v>
      </c>
      <c r="J20">
        <v>2</v>
      </c>
      <c r="K20" t="s">
        <v>390</v>
      </c>
      <c r="L20" t="s">
        <v>101</v>
      </c>
      <c r="M20" t="s">
        <v>100</v>
      </c>
      <c r="N20" t="s">
        <v>97</v>
      </c>
      <c r="O20" t="s">
        <v>147</v>
      </c>
      <c r="P20" t="s">
        <v>197</v>
      </c>
      <c r="Q20" t="s">
        <v>196</v>
      </c>
    </row>
    <row r="21" spans="1:17" x14ac:dyDescent="0.35">
      <c r="A21" t="s">
        <v>95</v>
      </c>
      <c r="B21" s="14">
        <v>8</v>
      </c>
      <c r="C21" s="15" t="str">
        <f>VLOOKUP(B21,J18:K29,2,TRUE)</f>
        <v>INPUT_MGR_IR_STATE,</v>
      </c>
      <c r="D21">
        <v>3</v>
      </c>
      <c r="E21" t="s">
        <v>78</v>
      </c>
      <c r="F21">
        <v>3</v>
      </c>
      <c r="G21" t="s">
        <v>391</v>
      </c>
      <c r="H21">
        <v>3</v>
      </c>
      <c r="I21" t="s">
        <v>392</v>
      </c>
      <c r="J21">
        <v>3</v>
      </c>
      <c r="K21" t="s">
        <v>393</v>
      </c>
      <c r="L21" t="s">
        <v>103</v>
      </c>
      <c r="M21" t="s">
        <v>102</v>
      </c>
      <c r="N21" t="s">
        <v>105</v>
      </c>
      <c r="O21" t="s">
        <v>148</v>
      </c>
      <c r="P21" t="s">
        <v>199</v>
      </c>
      <c r="Q21" t="s">
        <v>198</v>
      </c>
    </row>
    <row r="22" spans="1:17" x14ac:dyDescent="0.35">
      <c r="A22" t="s">
        <v>234</v>
      </c>
      <c r="B22" s="14" t="s">
        <v>123</v>
      </c>
      <c r="C22" s="15" t="str">
        <f>VLOOKUP(B22,N18:O49,2,TRUE)</f>
        <v>CMD_STOP</v>
      </c>
      <c r="D22">
        <v>4</v>
      </c>
      <c r="E22" t="s">
        <v>79</v>
      </c>
      <c r="F22">
        <v>4</v>
      </c>
      <c r="G22" t="s">
        <v>394</v>
      </c>
      <c r="H22">
        <v>4</v>
      </c>
      <c r="I22" t="s">
        <v>395</v>
      </c>
      <c r="J22">
        <v>4</v>
      </c>
      <c r="K22" t="s">
        <v>396</v>
      </c>
      <c r="L22" t="s">
        <v>105</v>
      </c>
      <c r="M22" t="s">
        <v>104</v>
      </c>
      <c r="N22" t="s">
        <v>107</v>
      </c>
      <c r="O22" t="s">
        <v>149</v>
      </c>
      <c r="P22" t="s">
        <v>201</v>
      </c>
      <c r="Q22" t="s">
        <v>200</v>
      </c>
    </row>
    <row r="23" spans="1:17" x14ac:dyDescent="0.35">
      <c r="A23" t="s">
        <v>236</v>
      </c>
      <c r="B23" s="14" t="s">
        <v>123</v>
      </c>
      <c r="C23" s="15" t="str">
        <f>VLOOKUP(B23,L18:M40,2,TRUE)</f>
        <v>CMD_EJECT_COMPLETED</v>
      </c>
      <c r="D23">
        <v>5</v>
      </c>
      <c r="E23" t="s">
        <v>80</v>
      </c>
      <c r="F23">
        <v>5</v>
      </c>
      <c r="G23" t="s">
        <v>397</v>
      </c>
      <c r="H23">
        <v>5</v>
      </c>
      <c r="I23" t="s">
        <v>398</v>
      </c>
      <c r="J23">
        <v>5</v>
      </c>
      <c r="K23" t="s">
        <v>399</v>
      </c>
      <c r="L23" t="s">
        <v>107</v>
      </c>
      <c r="M23" t="s">
        <v>106</v>
      </c>
      <c r="N23" t="s">
        <v>109</v>
      </c>
      <c r="O23" t="s">
        <v>150</v>
      </c>
      <c r="P23" t="s">
        <v>170</v>
      </c>
      <c r="Q23" t="s">
        <v>202</v>
      </c>
    </row>
    <row r="24" spans="1:17" x14ac:dyDescent="0.35">
      <c r="A24" t="s">
        <v>235</v>
      </c>
      <c r="B24" s="14" t="s">
        <v>204</v>
      </c>
      <c r="C24" s="15" t="str">
        <f>VLOOKUP(B24,P18:Q40,2,TRUE)</f>
        <v>CMD_ERROR</v>
      </c>
      <c r="D24">
        <v>6</v>
      </c>
      <c r="E24" t="s">
        <v>81</v>
      </c>
      <c r="F24">
        <v>6</v>
      </c>
      <c r="G24" t="s">
        <v>400</v>
      </c>
      <c r="H24">
        <v>6</v>
      </c>
      <c r="I24" t="s">
        <v>401</v>
      </c>
      <c r="J24">
        <v>6</v>
      </c>
      <c r="K24" t="s">
        <v>402</v>
      </c>
      <c r="L24" t="s">
        <v>109</v>
      </c>
      <c r="M24" t="s">
        <v>108</v>
      </c>
      <c r="N24" t="s">
        <v>111</v>
      </c>
      <c r="O24" t="s">
        <v>151</v>
      </c>
      <c r="P24" t="s">
        <v>204</v>
      </c>
      <c r="Q24" t="s">
        <v>203</v>
      </c>
    </row>
    <row r="25" spans="1:17" x14ac:dyDescent="0.35">
      <c r="B25" s="14"/>
      <c r="C25" s="15"/>
      <c r="D25">
        <v>7</v>
      </c>
      <c r="E25" t="s">
        <v>82</v>
      </c>
      <c r="F25">
        <v>7</v>
      </c>
      <c r="G25" t="s">
        <v>403</v>
      </c>
      <c r="H25">
        <v>7</v>
      </c>
      <c r="I25" t="s">
        <v>404</v>
      </c>
      <c r="J25">
        <v>7</v>
      </c>
      <c r="K25" t="s">
        <v>405</v>
      </c>
      <c r="L25" t="s">
        <v>111</v>
      </c>
      <c r="M25" t="s">
        <v>110</v>
      </c>
      <c r="N25" t="s">
        <v>113</v>
      </c>
      <c r="O25" t="s">
        <v>152</v>
      </c>
      <c r="P25" t="s">
        <v>206</v>
      </c>
      <c r="Q25" t="s">
        <v>205</v>
      </c>
    </row>
    <row r="26" spans="1:17" x14ac:dyDescent="0.35">
      <c r="D26">
        <v>8</v>
      </c>
      <c r="E26" t="s">
        <v>84</v>
      </c>
      <c r="F26">
        <v>8</v>
      </c>
      <c r="G26" t="s">
        <v>406</v>
      </c>
      <c r="H26">
        <v>8</v>
      </c>
      <c r="I26" t="s">
        <v>407</v>
      </c>
      <c r="J26">
        <v>8</v>
      </c>
      <c r="K26" t="s">
        <v>408</v>
      </c>
      <c r="L26" t="s">
        <v>113</v>
      </c>
      <c r="M26" t="s">
        <v>112</v>
      </c>
      <c r="N26" t="s">
        <v>115</v>
      </c>
      <c r="O26" t="s">
        <v>153</v>
      </c>
      <c r="P26" t="s">
        <v>208</v>
      </c>
      <c r="Q26" t="s">
        <v>207</v>
      </c>
    </row>
    <row r="27" spans="1:17" x14ac:dyDescent="0.35">
      <c r="D27">
        <v>9</v>
      </c>
      <c r="E27" t="s">
        <v>83</v>
      </c>
      <c r="F27">
        <v>9</v>
      </c>
      <c r="G27" t="s">
        <v>409</v>
      </c>
      <c r="H27">
        <v>9</v>
      </c>
      <c r="I27" t="s">
        <v>410</v>
      </c>
      <c r="J27">
        <v>9</v>
      </c>
      <c r="K27" t="s">
        <v>411</v>
      </c>
      <c r="L27" t="s">
        <v>115</v>
      </c>
      <c r="M27" t="s">
        <v>114</v>
      </c>
      <c r="N27" t="s">
        <v>155</v>
      </c>
      <c r="O27" t="s">
        <v>154</v>
      </c>
      <c r="P27" t="s">
        <v>174</v>
      </c>
      <c r="Q27" t="s">
        <v>209</v>
      </c>
    </row>
    <row r="28" spans="1:17" x14ac:dyDescent="0.35">
      <c r="D28">
        <v>10</v>
      </c>
      <c r="E28" t="s">
        <v>85</v>
      </c>
      <c r="F28">
        <v>10</v>
      </c>
      <c r="G28" t="s">
        <v>412</v>
      </c>
      <c r="H28">
        <v>10</v>
      </c>
      <c r="I28" t="s">
        <v>413</v>
      </c>
      <c r="J28">
        <v>10</v>
      </c>
      <c r="L28" t="s">
        <v>117</v>
      </c>
      <c r="M28" t="s">
        <v>116</v>
      </c>
      <c r="N28" t="s">
        <v>157</v>
      </c>
      <c r="O28" t="s">
        <v>156</v>
      </c>
      <c r="P28" t="s">
        <v>211</v>
      </c>
      <c r="Q28" t="s">
        <v>210</v>
      </c>
    </row>
    <row r="29" spans="1:17" x14ac:dyDescent="0.35">
      <c r="D29">
        <v>11</v>
      </c>
      <c r="E29" t="s">
        <v>86</v>
      </c>
      <c r="F29">
        <v>11</v>
      </c>
      <c r="G29" t="s">
        <v>414</v>
      </c>
      <c r="H29">
        <v>11</v>
      </c>
      <c r="I29" t="s">
        <v>415</v>
      </c>
      <c r="J29">
        <v>11</v>
      </c>
      <c r="L29" t="s">
        <v>119</v>
      </c>
      <c r="M29" t="s">
        <v>118</v>
      </c>
      <c r="N29" t="s">
        <v>159</v>
      </c>
      <c r="O29" t="s">
        <v>158</v>
      </c>
      <c r="P29" t="s">
        <v>213</v>
      </c>
      <c r="Q29" t="s">
        <v>212</v>
      </c>
    </row>
    <row r="30" spans="1:17" x14ac:dyDescent="0.35">
      <c r="D30">
        <v>12</v>
      </c>
      <c r="E30" t="s">
        <v>87</v>
      </c>
      <c r="F30">
        <v>12</v>
      </c>
      <c r="G30" t="s">
        <v>416</v>
      </c>
      <c r="H30">
        <v>12</v>
      </c>
      <c r="I30" t="s">
        <v>417</v>
      </c>
      <c r="L30" t="s">
        <v>121</v>
      </c>
      <c r="M30" t="s">
        <v>120</v>
      </c>
      <c r="N30" t="s">
        <v>121</v>
      </c>
      <c r="O30" t="s">
        <v>160</v>
      </c>
      <c r="P30" t="s">
        <v>215</v>
      </c>
      <c r="Q30" t="s">
        <v>214</v>
      </c>
    </row>
    <row r="31" spans="1:17" x14ac:dyDescent="0.35">
      <c r="B31" t="s">
        <v>330</v>
      </c>
      <c r="D31">
        <v>13</v>
      </c>
      <c r="E31" t="s">
        <v>88</v>
      </c>
      <c r="F31">
        <v>13</v>
      </c>
      <c r="G31" t="s">
        <v>418</v>
      </c>
      <c r="H31">
        <v>13</v>
      </c>
      <c r="I31" t="s">
        <v>419</v>
      </c>
      <c r="L31" t="s">
        <v>123</v>
      </c>
      <c r="M31" t="s">
        <v>122</v>
      </c>
      <c r="N31" t="s">
        <v>123</v>
      </c>
      <c r="O31" t="s">
        <v>161</v>
      </c>
      <c r="P31" t="s">
        <v>217</v>
      </c>
      <c r="Q31" t="s">
        <v>216</v>
      </c>
    </row>
    <row r="32" spans="1:17" x14ac:dyDescent="0.35">
      <c r="A32" s="26"/>
      <c r="B32" s="25">
        <v>1</v>
      </c>
      <c r="C32" s="15" t="s">
        <v>331</v>
      </c>
      <c r="D32">
        <v>14</v>
      </c>
      <c r="E32" t="s">
        <v>89</v>
      </c>
      <c r="F32">
        <v>14</v>
      </c>
      <c r="G32" t="s">
        <v>420</v>
      </c>
      <c r="H32">
        <v>14</v>
      </c>
      <c r="I32" t="s">
        <v>421</v>
      </c>
      <c r="L32" t="s">
        <v>125</v>
      </c>
      <c r="M32" t="s">
        <v>124</v>
      </c>
      <c r="N32" t="s">
        <v>125</v>
      </c>
      <c r="O32" t="s">
        <v>162</v>
      </c>
      <c r="P32" t="s">
        <v>219</v>
      </c>
      <c r="Q32" t="s">
        <v>218</v>
      </c>
    </row>
    <row r="33" spans="1:17" x14ac:dyDescent="0.35">
      <c r="A33" s="26"/>
      <c r="B33" s="25">
        <v>2</v>
      </c>
      <c r="C33" s="15" t="s">
        <v>332</v>
      </c>
      <c r="D33">
        <v>15</v>
      </c>
      <c r="E33" t="s">
        <v>90</v>
      </c>
      <c r="F33">
        <v>15</v>
      </c>
      <c r="G33" t="s">
        <v>422</v>
      </c>
      <c r="H33">
        <v>15</v>
      </c>
      <c r="I33" t="s">
        <v>423</v>
      </c>
      <c r="L33" t="s">
        <v>127</v>
      </c>
      <c r="M33" t="s">
        <v>126</v>
      </c>
      <c r="N33" t="s">
        <v>164</v>
      </c>
      <c r="O33" t="s">
        <v>163</v>
      </c>
      <c r="P33" t="s">
        <v>139</v>
      </c>
      <c r="Q33" t="s">
        <v>220</v>
      </c>
    </row>
    <row r="34" spans="1:17" x14ac:dyDescent="0.35">
      <c r="A34" s="26"/>
      <c r="B34" s="25">
        <v>4</v>
      </c>
      <c r="C34" s="15" t="s">
        <v>333</v>
      </c>
      <c r="D34">
        <v>16</v>
      </c>
      <c r="E34" t="s">
        <v>91</v>
      </c>
      <c r="F34">
        <v>16</v>
      </c>
      <c r="G34" t="s">
        <v>424</v>
      </c>
      <c r="H34">
        <v>16</v>
      </c>
      <c r="I34" t="s">
        <v>425</v>
      </c>
      <c r="L34" t="s">
        <v>129</v>
      </c>
      <c r="M34" t="s">
        <v>128</v>
      </c>
      <c r="N34" t="s">
        <v>127</v>
      </c>
      <c r="O34" t="s">
        <v>165</v>
      </c>
      <c r="P34" t="s">
        <v>139</v>
      </c>
      <c r="Q34" t="s">
        <v>221</v>
      </c>
    </row>
    <row r="35" spans="1:17" x14ac:dyDescent="0.35">
      <c r="A35" s="26"/>
      <c r="B35" s="25">
        <v>8</v>
      </c>
      <c r="C35" s="15" t="s">
        <v>334</v>
      </c>
      <c r="D35">
        <v>17</v>
      </c>
      <c r="E35" t="s">
        <v>92</v>
      </c>
      <c r="F35">
        <v>17</v>
      </c>
      <c r="G35" t="s">
        <v>426</v>
      </c>
      <c r="H35">
        <v>17</v>
      </c>
      <c r="I35" t="s">
        <v>427</v>
      </c>
      <c r="L35" t="s">
        <v>131</v>
      </c>
      <c r="M35" t="s">
        <v>130</v>
      </c>
      <c r="N35" t="s">
        <v>167</v>
      </c>
      <c r="O35" t="s">
        <v>166</v>
      </c>
      <c r="P35" t="s">
        <v>181</v>
      </c>
      <c r="Q35" t="s">
        <v>222</v>
      </c>
    </row>
    <row r="36" spans="1:17" x14ac:dyDescent="0.35">
      <c r="A36" s="27"/>
      <c r="B36" s="24"/>
      <c r="C36" s="15"/>
      <c r="F36">
        <v>18</v>
      </c>
      <c r="G36" t="s">
        <v>428</v>
      </c>
      <c r="H36">
        <v>18</v>
      </c>
      <c r="I36" t="s">
        <v>429</v>
      </c>
      <c r="L36" t="s">
        <v>133</v>
      </c>
      <c r="M36" t="s">
        <v>132</v>
      </c>
      <c r="N36" t="s">
        <v>131</v>
      </c>
      <c r="O36" t="s">
        <v>168</v>
      </c>
      <c r="P36" t="s">
        <v>224</v>
      </c>
      <c r="Q36" t="s">
        <v>223</v>
      </c>
    </row>
    <row r="37" spans="1:17" x14ac:dyDescent="0.35">
      <c r="A37" s="26"/>
      <c r="B37" s="25">
        <v>1</v>
      </c>
      <c r="C37" s="15" t="s">
        <v>335</v>
      </c>
      <c r="F37">
        <v>19</v>
      </c>
      <c r="G37" t="s">
        <v>430</v>
      </c>
      <c r="H37">
        <v>19</v>
      </c>
      <c r="I37" t="s">
        <v>431</v>
      </c>
      <c r="L37" t="s">
        <v>135</v>
      </c>
      <c r="M37" t="s">
        <v>134</v>
      </c>
      <c r="N37" t="s">
        <v>170</v>
      </c>
      <c r="O37" t="s">
        <v>169</v>
      </c>
      <c r="P37" t="s">
        <v>226</v>
      </c>
      <c r="Q37" t="s">
        <v>225</v>
      </c>
    </row>
    <row r="38" spans="1:17" x14ac:dyDescent="0.35">
      <c r="A38" s="26"/>
      <c r="B38" s="14">
        <v>2</v>
      </c>
      <c r="C38" s="15" t="s">
        <v>336</v>
      </c>
      <c r="F38">
        <v>20</v>
      </c>
      <c r="G38" t="s">
        <v>432</v>
      </c>
      <c r="H38">
        <v>20</v>
      </c>
      <c r="I38" t="s">
        <v>433</v>
      </c>
      <c r="L38" t="s">
        <v>137</v>
      </c>
      <c r="M38" t="s">
        <v>136</v>
      </c>
      <c r="N38" t="s">
        <v>167</v>
      </c>
      <c r="O38" t="s">
        <v>171</v>
      </c>
      <c r="P38" t="s">
        <v>228</v>
      </c>
      <c r="Q38" t="s">
        <v>227</v>
      </c>
    </row>
    <row r="39" spans="1:17" x14ac:dyDescent="0.35">
      <c r="A39" s="26"/>
      <c r="B39" s="14">
        <v>4</v>
      </c>
      <c r="C39" s="15" t="s">
        <v>337</v>
      </c>
      <c r="F39">
        <v>21</v>
      </c>
      <c r="G39" t="s">
        <v>434</v>
      </c>
      <c r="H39">
        <v>21</v>
      </c>
      <c r="I39" t="s">
        <v>435</v>
      </c>
      <c r="L39" t="s">
        <v>139</v>
      </c>
      <c r="M39" t="s">
        <v>138</v>
      </c>
      <c r="N39" t="s">
        <v>170</v>
      </c>
      <c r="O39" t="s">
        <v>172</v>
      </c>
      <c r="P39" t="s">
        <v>230</v>
      </c>
      <c r="Q39" t="s">
        <v>229</v>
      </c>
    </row>
    <row r="40" spans="1:17" x14ac:dyDescent="0.35">
      <c r="A40" s="26"/>
      <c r="B40" s="14">
        <v>8</v>
      </c>
      <c r="C40" s="15" t="s">
        <v>338</v>
      </c>
      <c r="F40">
        <v>22</v>
      </c>
      <c r="G40" t="s">
        <v>436</v>
      </c>
      <c r="H40">
        <v>22</v>
      </c>
      <c r="I40" t="s">
        <v>437</v>
      </c>
      <c r="L40" t="s">
        <v>141</v>
      </c>
      <c r="M40" t="s">
        <v>140</v>
      </c>
      <c r="N40" t="s">
        <v>174</v>
      </c>
      <c r="O40" t="s">
        <v>173</v>
      </c>
      <c r="P40" t="s">
        <v>232</v>
      </c>
      <c r="Q40" t="s">
        <v>231</v>
      </c>
    </row>
    <row r="41" spans="1:17" x14ac:dyDescent="0.35">
      <c r="A41" s="26"/>
      <c r="B41" s="14">
        <v>16</v>
      </c>
      <c r="C41" s="15" t="s">
        <v>339</v>
      </c>
      <c r="F41">
        <v>23</v>
      </c>
      <c r="G41" t="s">
        <v>438</v>
      </c>
      <c r="H41">
        <v>23</v>
      </c>
      <c r="L41" t="s">
        <v>143</v>
      </c>
      <c r="M41" t="s">
        <v>142</v>
      </c>
      <c r="N41" t="s">
        <v>176</v>
      </c>
      <c r="O41" t="s">
        <v>175</v>
      </c>
    </row>
    <row r="42" spans="1:17" x14ac:dyDescent="0.35">
      <c r="A42" s="26"/>
      <c r="B42" s="14">
        <v>32</v>
      </c>
      <c r="C42" s="15" t="s">
        <v>340</v>
      </c>
      <c r="F42">
        <v>24</v>
      </c>
      <c r="G42" t="s">
        <v>439</v>
      </c>
      <c r="H42">
        <v>24</v>
      </c>
      <c r="N42" t="s">
        <v>178</v>
      </c>
      <c r="O42" t="s">
        <v>177</v>
      </c>
    </row>
    <row r="43" spans="1:17" x14ac:dyDescent="0.35">
      <c r="F43">
        <v>25</v>
      </c>
      <c r="G43" t="s">
        <v>440</v>
      </c>
      <c r="H43">
        <v>25</v>
      </c>
      <c r="N43" t="s">
        <v>137</v>
      </c>
      <c r="O43" t="s">
        <v>179</v>
      </c>
    </row>
    <row r="44" spans="1:17" x14ac:dyDescent="0.35">
      <c r="F44">
        <v>26</v>
      </c>
      <c r="G44" t="s">
        <v>441</v>
      </c>
      <c r="H44">
        <v>26</v>
      </c>
      <c r="N44" t="s">
        <v>181</v>
      </c>
      <c r="O44" t="s">
        <v>180</v>
      </c>
    </row>
    <row r="45" spans="1:17" x14ac:dyDescent="0.35">
      <c r="F45">
        <v>27</v>
      </c>
      <c r="G45" t="s">
        <v>442</v>
      </c>
      <c r="H45">
        <v>27</v>
      </c>
      <c r="N45" t="s">
        <v>183</v>
      </c>
      <c r="O45" t="s">
        <v>182</v>
      </c>
    </row>
    <row r="46" spans="1:17" x14ac:dyDescent="0.35">
      <c r="F46">
        <v>28</v>
      </c>
      <c r="G46" t="s">
        <v>443</v>
      </c>
      <c r="H46">
        <v>28</v>
      </c>
      <c r="N46" t="s">
        <v>185</v>
      </c>
      <c r="O46" t="s">
        <v>184</v>
      </c>
    </row>
    <row r="47" spans="1:17" x14ac:dyDescent="0.35">
      <c r="F47">
        <v>29</v>
      </c>
      <c r="G47" t="s">
        <v>444</v>
      </c>
      <c r="H47">
        <v>29</v>
      </c>
      <c r="N47" t="s">
        <v>99</v>
      </c>
      <c r="O47" t="s">
        <v>186</v>
      </c>
    </row>
    <row r="48" spans="1:17" x14ac:dyDescent="0.35">
      <c r="F48">
        <v>30</v>
      </c>
      <c r="G48" t="s">
        <v>445</v>
      </c>
      <c r="H48">
        <v>30</v>
      </c>
      <c r="N48" t="s">
        <v>188</v>
      </c>
      <c r="O48" t="s">
        <v>187</v>
      </c>
    </row>
    <row r="49" spans="6:15" x14ac:dyDescent="0.35">
      <c r="F49">
        <v>31</v>
      </c>
      <c r="G49" t="s">
        <v>446</v>
      </c>
      <c r="H49">
        <v>31</v>
      </c>
      <c r="N49" t="s">
        <v>190</v>
      </c>
      <c r="O49" t="s">
        <v>189</v>
      </c>
    </row>
    <row r="50" spans="6:15" x14ac:dyDescent="0.35">
      <c r="F50">
        <v>32</v>
      </c>
      <c r="H50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08F6-B06E-45A0-A3C6-6067C4514D32}">
  <dimension ref="A1:B26"/>
  <sheetViews>
    <sheetView workbookViewId="0"/>
  </sheetViews>
  <sheetFormatPr defaultRowHeight="14.5" x14ac:dyDescent="0.35"/>
  <cols>
    <col min="1" max="1" width="11.26953125" bestFit="1" customWidth="1"/>
    <col min="2" max="2" width="21.54296875" bestFit="1" customWidth="1"/>
  </cols>
  <sheetData>
    <row r="1" spans="1:2" x14ac:dyDescent="0.35">
      <c r="A1" t="s">
        <v>341</v>
      </c>
    </row>
    <row r="2" spans="1:2" x14ac:dyDescent="0.35">
      <c r="A2" s="28" t="s">
        <v>342</v>
      </c>
      <c r="B2" s="28" t="s">
        <v>343</v>
      </c>
    </row>
    <row r="3" spans="1:2" x14ac:dyDescent="0.35">
      <c r="A3" s="28">
        <v>7</v>
      </c>
      <c r="B3" s="28" t="s">
        <v>353</v>
      </c>
    </row>
    <row r="4" spans="1:2" x14ac:dyDescent="0.35">
      <c r="A4" s="28">
        <v>52</v>
      </c>
      <c r="B4" s="28" t="s">
        <v>344</v>
      </c>
    </row>
    <row r="5" spans="1:2" x14ac:dyDescent="0.35">
      <c r="A5" s="28" t="s">
        <v>345</v>
      </c>
      <c r="B5" s="28" t="s">
        <v>346</v>
      </c>
    </row>
    <row r="6" spans="1:2" x14ac:dyDescent="0.35">
      <c r="A6" s="28" t="s">
        <v>347</v>
      </c>
      <c r="B6" s="28" t="s">
        <v>348</v>
      </c>
    </row>
    <row r="7" spans="1:2" x14ac:dyDescent="0.35">
      <c r="A7" s="28">
        <v>70</v>
      </c>
      <c r="B7" s="28" t="s">
        <v>352</v>
      </c>
    </row>
    <row r="8" spans="1:2" x14ac:dyDescent="0.35">
      <c r="A8" s="28" t="s">
        <v>350</v>
      </c>
      <c r="B8" s="28" t="s">
        <v>349</v>
      </c>
    </row>
    <row r="9" spans="1:2" x14ac:dyDescent="0.35">
      <c r="A9" s="28">
        <v>78</v>
      </c>
      <c r="B9" s="28" t="s">
        <v>351</v>
      </c>
    </row>
    <row r="10" spans="1:2" x14ac:dyDescent="0.35">
      <c r="A10" s="28"/>
      <c r="B10" s="28"/>
    </row>
    <row r="11" spans="1:2" x14ac:dyDescent="0.35">
      <c r="A11" s="28"/>
      <c r="B11" s="28"/>
    </row>
    <row r="12" spans="1:2" x14ac:dyDescent="0.35">
      <c r="A12" s="28"/>
      <c r="B12" s="28"/>
    </row>
    <row r="13" spans="1:2" x14ac:dyDescent="0.35">
      <c r="A13" s="28"/>
      <c r="B13" s="28"/>
    </row>
    <row r="14" spans="1:2" x14ac:dyDescent="0.35">
      <c r="A14" s="28"/>
      <c r="B14" s="28"/>
    </row>
    <row r="15" spans="1:2" x14ac:dyDescent="0.35">
      <c r="A15" s="28"/>
      <c r="B15" s="28"/>
    </row>
    <row r="16" spans="1:2" x14ac:dyDescent="0.35">
      <c r="A16" s="28"/>
      <c r="B16" s="28"/>
    </row>
    <row r="17" spans="1:2" x14ac:dyDescent="0.35">
      <c r="A17" s="28"/>
      <c r="B17" s="28"/>
    </row>
    <row r="18" spans="1:2" x14ac:dyDescent="0.35">
      <c r="A18" s="28"/>
      <c r="B18" s="28"/>
    </row>
    <row r="19" spans="1:2" x14ac:dyDescent="0.35">
      <c r="A19" s="28"/>
      <c r="B19" s="28"/>
    </row>
    <row r="20" spans="1:2" x14ac:dyDescent="0.35">
      <c r="A20" s="28"/>
      <c r="B20" s="28"/>
    </row>
    <row r="21" spans="1:2" x14ac:dyDescent="0.35">
      <c r="A21" s="28"/>
      <c r="B21" s="28"/>
    </row>
    <row r="22" spans="1:2" x14ac:dyDescent="0.35">
      <c r="A22" s="28"/>
      <c r="B22" s="28"/>
    </row>
    <row r="23" spans="1:2" x14ac:dyDescent="0.35">
      <c r="A23" s="28"/>
      <c r="B23" s="28"/>
    </row>
    <row r="24" spans="1:2" x14ac:dyDescent="0.35">
      <c r="A24" s="28"/>
      <c r="B24" s="28"/>
    </row>
    <row r="25" spans="1:2" x14ac:dyDescent="0.35">
      <c r="A25" s="28"/>
      <c r="B25" s="28"/>
    </row>
    <row r="26" spans="1:2" x14ac:dyDescent="0.35">
      <c r="A26" s="28"/>
      <c r="B26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AE1A-6BED-4078-92A1-F19C3DA97BDA}">
  <dimension ref="A2:G144"/>
  <sheetViews>
    <sheetView topLeftCell="F1" workbookViewId="0">
      <selection activeCell="I21" sqref="I21"/>
    </sheetView>
  </sheetViews>
  <sheetFormatPr defaultRowHeight="14.5" x14ac:dyDescent="0.35"/>
  <cols>
    <col min="1" max="3" width="8.453125" customWidth="1"/>
    <col min="4" max="7" width="17.453125" customWidth="1"/>
  </cols>
  <sheetData>
    <row r="2" spans="1:7" x14ac:dyDescent="0.35">
      <c r="A2" t="s">
        <v>60</v>
      </c>
    </row>
    <row r="4" spans="1:7" x14ac:dyDescent="0.35">
      <c r="A4" t="s">
        <v>61</v>
      </c>
      <c r="B4" t="s">
        <v>66</v>
      </c>
      <c r="C4" t="s">
        <v>51</v>
      </c>
      <c r="D4" t="s">
        <v>62</v>
      </c>
      <c r="E4" t="s">
        <v>63</v>
      </c>
      <c r="F4" t="s">
        <v>64</v>
      </c>
      <c r="G4" t="s">
        <v>65</v>
      </c>
    </row>
    <row r="5" spans="1:7" x14ac:dyDescent="0.35">
      <c r="A5" t="s">
        <v>69</v>
      </c>
      <c r="B5" t="s">
        <v>67</v>
      </c>
      <c r="C5" t="s">
        <v>53</v>
      </c>
      <c r="D5">
        <v>7.6</v>
      </c>
      <c r="E5">
        <v>9.6199999999999992</v>
      </c>
      <c r="F5">
        <v>10.93</v>
      </c>
      <c r="G5">
        <v>0.56999999999999995</v>
      </c>
    </row>
    <row r="6" spans="1:7" x14ac:dyDescent="0.35">
      <c r="A6" t="s">
        <v>69</v>
      </c>
      <c r="B6" t="s">
        <v>67</v>
      </c>
      <c r="C6" t="s">
        <v>53</v>
      </c>
      <c r="D6">
        <v>3.01</v>
      </c>
      <c r="E6">
        <v>3.34</v>
      </c>
      <c r="F6">
        <v>4.9000000000000004</v>
      </c>
      <c r="G6">
        <v>0.11</v>
      </c>
    </row>
    <row r="7" spans="1:7" x14ac:dyDescent="0.35">
      <c r="A7" t="s">
        <v>69</v>
      </c>
      <c r="B7" t="s">
        <v>67</v>
      </c>
      <c r="C7" t="s">
        <v>53</v>
      </c>
      <c r="D7">
        <v>7.77</v>
      </c>
      <c r="E7">
        <v>4.0999999999999996</v>
      </c>
      <c r="F7">
        <v>5.56</v>
      </c>
      <c r="G7">
        <v>0.02</v>
      </c>
    </row>
    <row r="8" spans="1:7" x14ac:dyDescent="0.35">
      <c r="A8" t="s">
        <v>69</v>
      </c>
      <c r="B8" t="s">
        <v>67</v>
      </c>
      <c r="C8" t="s">
        <v>53</v>
      </c>
      <c r="D8">
        <v>0.16</v>
      </c>
      <c r="E8">
        <v>0.79</v>
      </c>
      <c r="F8">
        <v>1.86</v>
      </c>
      <c r="G8">
        <v>0.04</v>
      </c>
    </row>
    <row r="9" spans="1:7" x14ac:dyDescent="0.35">
      <c r="A9" t="s">
        <v>69</v>
      </c>
      <c r="B9" t="s">
        <v>67</v>
      </c>
      <c r="C9" t="s">
        <v>53</v>
      </c>
      <c r="D9">
        <v>-0.26</v>
      </c>
      <c r="E9">
        <v>0.66</v>
      </c>
      <c r="F9">
        <v>1.99</v>
      </c>
      <c r="G9">
        <v>0.03</v>
      </c>
    </row>
    <row r="10" spans="1:7" x14ac:dyDescent="0.35">
      <c r="A10" t="s">
        <v>69</v>
      </c>
      <c r="B10" t="s">
        <v>67</v>
      </c>
      <c r="C10" t="s">
        <v>53</v>
      </c>
      <c r="D10">
        <v>2.2000000000000002</v>
      </c>
      <c r="E10">
        <v>0.71</v>
      </c>
      <c r="F10">
        <v>2.0499999999999998</v>
      </c>
      <c r="G10">
        <v>0.03</v>
      </c>
    </row>
    <row r="11" spans="1:7" x14ac:dyDescent="0.35">
      <c r="A11" t="s">
        <v>69</v>
      </c>
      <c r="B11" t="s">
        <v>67</v>
      </c>
      <c r="C11" t="s">
        <v>53</v>
      </c>
      <c r="D11">
        <v>-0.31</v>
      </c>
      <c r="E11">
        <v>0.4</v>
      </c>
      <c r="F11">
        <v>1.8</v>
      </c>
      <c r="G11">
        <v>0.06</v>
      </c>
    </row>
    <row r="12" spans="1:7" x14ac:dyDescent="0.35">
      <c r="A12" t="s">
        <v>69</v>
      </c>
      <c r="B12" t="s">
        <v>67</v>
      </c>
      <c r="C12" t="s">
        <v>53</v>
      </c>
      <c r="D12">
        <v>2.2400000000000002</v>
      </c>
      <c r="E12">
        <v>0.66</v>
      </c>
      <c r="F12">
        <v>2.35</v>
      </c>
      <c r="G12">
        <v>0</v>
      </c>
    </row>
    <row r="13" spans="1:7" x14ac:dyDescent="0.35">
      <c r="A13" t="s">
        <v>69</v>
      </c>
      <c r="B13" t="s">
        <v>67</v>
      </c>
      <c r="C13" t="s">
        <v>53</v>
      </c>
      <c r="D13">
        <v>-2.73</v>
      </c>
      <c r="E13">
        <v>-0.11</v>
      </c>
      <c r="F13">
        <v>1.76</v>
      </c>
      <c r="G13">
        <v>-0.12</v>
      </c>
    </row>
    <row r="14" spans="1:7" x14ac:dyDescent="0.35">
      <c r="A14" t="s">
        <v>69</v>
      </c>
      <c r="B14" t="s">
        <v>67</v>
      </c>
      <c r="C14" t="s">
        <v>53</v>
      </c>
      <c r="D14">
        <v>-0.56000000000000005</v>
      </c>
      <c r="E14">
        <v>2.66</v>
      </c>
      <c r="F14">
        <v>4.0599999999999996</v>
      </c>
      <c r="G14">
        <v>0.02</v>
      </c>
    </row>
    <row r="15" spans="1:7" x14ac:dyDescent="0.35">
      <c r="A15" t="s">
        <v>69</v>
      </c>
      <c r="B15" t="s">
        <v>67</v>
      </c>
      <c r="C15" t="s">
        <v>53</v>
      </c>
      <c r="D15">
        <v>-0.52</v>
      </c>
      <c r="E15">
        <v>0.23</v>
      </c>
      <c r="F15">
        <v>1.46</v>
      </c>
      <c r="G15">
        <v>-0.02</v>
      </c>
    </row>
    <row r="16" spans="1:7" x14ac:dyDescent="0.35">
      <c r="A16" t="s">
        <v>69</v>
      </c>
      <c r="B16" t="s">
        <v>67</v>
      </c>
      <c r="C16" t="s">
        <v>53</v>
      </c>
      <c r="D16">
        <v>-0.31</v>
      </c>
      <c r="E16">
        <v>0.74</v>
      </c>
      <c r="F16">
        <v>1.87</v>
      </c>
      <c r="G16">
        <v>-0.02</v>
      </c>
    </row>
    <row r="17" spans="1:7" x14ac:dyDescent="0.35">
      <c r="A17" t="s">
        <v>69</v>
      </c>
      <c r="B17" t="s">
        <v>67</v>
      </c>
      <c r="C17" t="s">
        <v>53</v>
      </c>
      <c r="D17">
        <v>4.67</v>
      </c>
      <c r="E17">
        <v>-0.02</v>
      </c>
      <c r="F17">
        <v>1.63</v>
      </c>
      <c r="G17">
        <v>0</v>
      </c>
    </row>
    <row r="18" spans="1:7" x14ac:dyDescent="0.35">
      <c r="A18" t="s">
        <v>69</v>
      </c>
      <c r="B18" t="s">
        <v>67</v>
      </c>
      <c r="C18" t="s">
        <v>53</v>
      </c>
      <c r="D18">
        <v>-0.69</v>
      </c>
      <c r="E18">
        <v>0.99</v>
      </c>
      <c r="F18">
        <v>2.61</v>
      </c>
      <c r="G18">
        <v>0</v>
      </c>
    </row>
    <row r="19" spans="1:7" x14ac:dyDescent="0.35">
      <c r="A19" t="s">
        <v>69</v>
      </c>
      <c r="B19" t="s">
        <v>67</v>
      </c>
      <c r="C19" t="s">
        <v>53</v>
      </c>
      <c r="D19">
        <v>-0.6</v>
      </c>
      <c r="E19">
        <v>0.66</v>
      </c>
      <c r="F19">
        <v>2.11</v>
      </c>
      <c r="G19">
        <v>0</v>
      </c>
    </row>
    <row r="20" spans="1:7" x14ac:dyDescent="0.35">
      <c r="A20" t="s">
        <v>69</v>
      </c>
      <c r="B20" t="s">
        <v>67</v>
      </c>
      <c r="C20" t="s">
        <v>53</v>
      </c>
      <c r="D20">
        <v>1.9</v>
      </c>
      <c r="E20">
        <v>1.01</v>
      </c>
      <c r="F20">
        <v>2.52</v>
      </c>
      <c r="G20">
        <v>0</v>
      </c>
    </row>
    <row r="21" spans="1:7" x14ac:dyDescent="0.35">
      <c r="A21" t="s">
        <v>69</v>
      </c>
      <c r="B21" t="s">
        <v>67</v>
      </c>
      <c r="C21" t="s">
        <v>53</v>
      </c>
      <c r="D21">
        <v>1.99</v>
      </c>
      <c r="E21">
        <v>2.44</v>
      </c>
      <c r="F21">
        <v>4.05</v>
      </c>
      <c r="G21">
        <v>0.08</v>
      </c>
    </row>
    <row r="22" spans="1:7" x14ac:dyDescent="0.35">
      <c r="A22" t="s">
        <v>69</v>
      </c>
      <c r="B22" t="s">
        <v>67</v>
      </c>
      <c r="C22" t="s">
        <v>53</v>
      </c>
      <c r="D22">
        <v>-0.99</v>
      </c>
      <c r="E22">
        <v>3.08</v>
      </c>
      <c r="F22">
        <v>4.13</v>
      </c>
      <c r="G22">
        <v>0.02</v>
      </c>
    </row>
    <row r="23" spans="1:7" x14ac:dyDescent="0.35">
      <c r="A23" t="s">
        <v>69</v>
      </c>
      <c r="B23" t="s">
        <v>67</v>
      </c>
      <c r="C23" t="s">
        <v>53</v>
      </c>
      <c r="D23">
        <v>1.56</v>
      </c>
      <c r="E23">
        <v>2.19</v>
      </c>
      <c r="F23">
        <v>3.5</v>
      </c>
      <c r="G23">
        <v>0</v>
      </c>
    </row>
    <row r="24" spans="1:7" x14ac:dyDescent="0.35">
      <c r="A24" t="s">
        <v>69</v>
      </c>
      <c r="B24" t="s">
        <v>67</v>
      </c>
      <c r="C24" t="s">
        <v>53</v>
      </c>
      <c r="D24">
        <v>1.44</v>
      </c>
      <c r="E24">
        <v>2.99</v>
      </c>
      <c r="F24">
        <v>4.58</v>
      </c>
      <c r="G24">
        <v>0.09</v>
      </c>
    </row>
    <row r="25" spans="1:7" x14ac:dyDescent="0.35">
      <c r="A25" t="s">
        <v>68</v>
      </c>
      <c r="B25" t="s">
        <v>67</v>
      </c>
      <c r="C25" t="s">
        <v>53</v>
      </c>
      <c r="D25">
        <v>2.5</v>
      </c>
      <c r="E25">
        <v>-4.7699999999999996</v>
      </c>
      <c r="F25">
        <v>-1.3</v>
      </c>
      <c r="G25">
        <v>-0.06</v>
      </c>
    </row>
    <row r="26" spans="1:7" x14ac:dyDescent="0.35">
      <c r="A26" t="s">
        <v>68</v>
      </c>
      <c r="B26" t="s">
        <v>67</v>
      </c>
      <c r="C26" t="s">
        <v>53</v>
      </c>
      <c r="D26">
        <v>-2.6</v>
      </c>
      <c r="E26">
        <v>-9.58</v>
      </c>
      <c r="F26">
        <v>-5.85</v>
      </c>
      <c r="G26">
        <v>-0.04</v>
      </c>
    </row>
    <row r="27" spans="1:7" x14ac:dyDescent="0.35">
      <c r="A27" t="s">
        <v>68</v>
      </c>
      <c r="B27" t="s">
        <v>67</v>
      </c>
      <c r="C27" t="s">
        <v>53</v>
      </c>
      <c r="D27">
        <v>0.24</v>
      </c>
      <c r="E27">
        <v>-7.67</v>
      </c>
      <c r="F27">
        <v>-3.7</v>
      </c>
      <c r="G27">
        <v>-0.04</v>
      </c>
    </row>
    <row r="28" spans="1:7" x14ac:dyDescent="0.35">
      <c r="A28" t="s">
        <v>68</v>
      </c>
      <c r="B28" t="s">
        <v>67</v>
      </c>
      <c r="C28" t="s">
        <v>53</v>
      </c>
      <c r="D28">
        <v>5</v>
      </c>
      <c r="E28">
        <v>-5.97</v>
      </c>
      <c r="F28">
        <v>-1.9</v>
      </c>
      <c r="G28">
        <v>-0.02</v>
      </c>
    </row>
    <row r="29" spans="1:7" x14ac:dyDescent="0.35">
      <c r="A29" t="s">
        <v>68</v>
      </c>
      <c r="B29" t="s">
        <v>67</v>
      </c>
      <c r="C29" t="s">
        <v>53</v>
      </c>
      <c r="D29">
        <v>4.7</v>
      </c>
      <c r="E29">
        <v>-6.69</v>
      </c>
      <c r="F29">
        <v>-3.11</v>
      </c>
      <c r="G29">
        <v>0.02</v>
      </c>
    </row>
    <row r="30" spans="1:7" x14ac:dyDescent="0.35">
      <c r="A30" t="s">
        <v>68</v>
      </c>
      <c r="B30" t="s">
        <v>67</v>
      </c>
      <c r="C30" t="s">
        <v>53</v>
      </c>
      <c r="D30">
        <v>-0.35</v>
      </c>
      <c r="E30">
        <v>-6.99</v>
      </c>
      <c r="F30">
        <v>-3.34</v>
      </c>
      <c r="G30">
        <v>0</v>
      </c>
    </row>
    <row r="31" spans="1:7" x14ac:dyDescent="0.35">
      <c r="A31" t="s">
        <v>68</v>
      </c>
      <c r="B31" t="s">
        <v>67</v>
      </c>
      <c r="C31" t="s">
        <v>53</v>
      </c>
      <c r="D31">
        <v>9.89</v>
      </c>
      <c r="E31">
        <v>-6.82</v>
      </c>
      <c r="F31">
        <v>-3.07</v>
      </c>
      <c r="G31">
        <v>0</v>
      </c>
    </row>
    <row r="32" spans="1:7" x14ac:dyDescent="0.35">
      <c r="A32" t="s">
        <v>68</v>
      </c>
      <c r="B32" t="s">
        <v>67</v>
      </c>
      <c r="C32" t="s">
        <v>53</v>
      </c>
      <c r="D32">
        <v>-0.52</v>
      </c>
      <c r="E32">
        <v>-7.25</v>
      </c>
      <c r="F32">
        <v>-3.17</v>
      </c>
      <c r="G32">
        <v>-0.06</v>
      </c>
    </row>
    <row r="33" spans="1:7" x14ac:dyDescent="0.35">
      <c r="A33" t="s">
        <v>68</v>
      </c>
      <c r="B33" t="s">
        <v>67</v>
      </c>
      <c r="C33" t="s">
        <v>53</v>
      </c>
      <c r="D33">
        <v>4.24</v>
      </c>
      <c r="E33">
        <v>-4.3499999999999996</v>
      </c>
      <c r="F33">
        <v>-0.49</v>
      </c>
      <c r="G33">
        <v>-0.02</v>
      </c>
    </row>
    <row r="34" spans="1:7" x14ac:dyDescent="0.35">
      <c r="A34" t="s">
        <v>68</v>
      </c>
      <c r="B34" t="s">
        <v>67</v>
      </c>
      <c r="C34" t="s">
        <v>53</v>
      </c>
      <c r="D34">
        <v>-0.39</v>
      </c>
      <c r="E34">
        <v>-8.8000000000000007</v>
      </c>
      <c r="F34">
        <v>-4.79</v>
      </c>
      <c r="G34">
        <v>-0.04</v>
      </c>
    </row>
    <row r="35" spans="1:7" x14ac:dyDescent="0.35">
      <c r="A35" t="s">
        <v>68</v>
      </c>
      <c r="B35" t="s">
        <v>67</v>
      </c>
      <c r="C35" t="s">
        <v>53</v>
      </c>
      <c r="D35">
        <v>-1.29</v>
      </c>
      <c r="E35">
        <v>-6.34</v>
      </c>
      <c r="F35">
        <v>-2.75</v>
      </c>
      <c r="G35">
        <v>0.04</v>
      </c>
    </row>
    <row r="36" spans="1:7" x14ac:dyDescent="0.35">
      <c r="A36" t="s">
        <v>68</v>
      </c>
      <c r="B36" t="s">
        <v>67</v>
      </c>
      <c r="C36" t="s">
        <v>53</v>
      </c>
      <c r="D36">
        <v>1.0900000000000001</v>
      </c>
      <c r="E36">
        <v>-6.82</v>
      </c>
      <c r="F36">
        <v>-2.7</v>
      </c>
      <c r="G36">
        <v>-0.04</v>
      </c>
    </row>
    <row r="37" spans="1:7" x14ac:dyDescent="0.35">
      <c r="A37" t="s">
        <v>68</v>
      </c>
      <c r="B37" t="s">
        <v>67</v>
      </c>
      <c r="C37" t="s">
        <v>53</v>
      </c>
      <c r="D37">
        <v>-8.93</v>
      </c>
      <c r="E37">
        <v>-18.97</v>
      </c>
      <c r="F37">
        <v>-6.44</v>
      </c>
      <c r="G37">
        <v>0</v>
      </c>
    </row>
    <row r="38" spans="1:7" x14ac:dyDescent="0.35">
      <c r="A38" t="s">
        <v>68</v>
      </c>
      <c r="B38" t="s">
        <v>67</v>
      </c>
      <c r="C38" t="s">
        <v>53</v>
      </c>
      <c r="D38">
        <v>-11.48</v>
      </c>
      <c r="E38">
        <v>-16.84</v>
      </c>
      <c r="F38">
        <v>-6.36</v>
      </c>
      <c r="G38">
        <v>-0.11</v>
      </c>
    </row>
    <row r="39" spans="1:7" x14ac:dyDescent="0.35">
      <c r="A39" t="s">
        <v>68</v>
      </c>
      <c r="B39" t="s">
        <v>67</v>
      </c>
      <c r="C39" t="s">
        <v>53</v>
      </c>
      <c r="D39">
        <v>-11.82</v>
      </c>
      <c r="E39">
        <v>-18.54</v>
      </c>
      <c r="F39">
        <v>-6.02</v>
      </c>
      <c r="G39">
        <v>0</v>
      </c>
    </row>
    <row r="40" spans="1:7" x14ac:dyDescent="0.35">
      <c r="A40" t="s">
        <v>68</v>
      </c>
      <c r="B40" t="s">
        <v>67</v>
      </c>
      <c r="C40" t="s">
        <v>53</v>
      </c>
      <c r="D40">
        <v>-11.82</v>
      </c>
      <c r="E40">
        <v>-18.71</v>
      </c>
      <c r="F40">
        <v>-6.87</v>
      </c>
      <c r="G40">
        <v>-0.08</v>
      </c>
    </row>
    <row r="41" spans="1:7" x14ac:dyDescent="0.35">
      <c r="A41" t="s">
        <v>68</v>
      </c>
      <c r="B41" t="s">
        <v>67</v>
      </c>
      <c r="C41" t="s">
        <v>53</v>
      </c>
      <c r="D41">
        <v>-12.46</v>
      </c>
      <c r="E41">
        <v>-19.440000000000001</v>
      </c>
      <c r="F41">
        <v>-6.7</v>
      </c>
      <c r="G41">
        <v>-0.06</v>
      </c>
    </row>
    <row r="42" spans="1:7" x14ac:dyDescent="0.35">
      <c r="A42" t="s">
        <v>68</v>
      </c>
      <c r="B42" t="s">
        <v>67</v>
      </c>
      <c r="C42" t="s">
        <v>53</v>
      </c>
      <c r="D42">
        <v>-10.16</v>
      </c>
      <c r="E42">
        <v>-20.88</v>
      </c>
      <c r="F42">
        <v>-7.61</v>
      </c>
      <c r="G42">
        <v>-0.06</v>
      </c>
    </row>
    <row r="43" spans="1:7" x14ac:dyDescent="0.35">
      <c r="A43" t="s">
        <v>68</v>
      </c>
      <c r="B43" t="s">
        <v>67</v>
      </c>
      <c r="C43" t="s">
        <v>53</v>
      </c>
      <c r="D43">
        <v>5.13</v>
      </c>
      <c r="E43">
        <v>0.02</v>
      </c>
      <c r="F43">
        <v>0.97</v>
      </c>
      <c r="G43">
        <v>0</v>
      </c>
    </row>
    <row r="44" spans="1:7" x14ac:dyDescent="0.35">
      <c r="A44" t="s">
        <v>70</v>
      </c>
      <c r="B44" t="s">
        <v>67</v>
      </c>
      <c r="C44" t="s">
        <v>53</v>
      </c>
      <c r="D44">
        <v>-2.48</v>
      </c>
      <c r="E44">
        <v>-5.2</v>
      </c>
      <c r="F44">
        <v>-1.69</v>
      </c>
      <c r="G44">
        <v>0.06</v>
      </c>
    </row>
    <row r="45" spans="1:7" x14ac:dyDescent="0.35">
      <c r="A45" t="s">
        <v>70</v>
      </c>
      <c r="B45" t="s">
        <v>67</v>
      </c>
      <c r="C45" t="s">
        <v>53</v>
      </c>
      <c r="D45">
        <v>4.0199999999999996</v>
      </c>
      <c r="E45">
        <v>2.48</v>
      </c>
      <c r="F45">
        <v>3.2</v>
      </c>
      <c r="G45">
        <v>-0.02</v>
      </c>
    </row>
    <row r="46" spans="1:7" x14ac:dyDescent="0.35">
      <c r="A46" t="s">
        <v>70</v>
      </c>
      <c r="B46" t="s">
        <v>67</v>
      </c>
      <c r="C46" t="s">
        <v>53</v>
      </c>
      <c r="D46">
        <v>4.32</v>
      </c>
      <c r="E46">
        <v>0.62</v>
      </c>
      <c r="F46">
        <v>2.0099999999999998</v>
      </c>
      <c r="G46">
        <v>-0.08</v>
      </c>
    </row>
    <row r="47" spans="1:7" x14ac:dyDescent="0.35">
      <c r="A47" t="s">
        <v>70</v>
      </c>
      <c r="B47" t="s">
        <v>67</v>
      </c>
      <c r="C47" t="s">
        <v>53</v>
      </c>
      <c r="D47">
        <v>4.28</v>
      </c>
      <c r="E47">
        <v>0.91</v>
      </c>
      <c r="F47">
        <v>2.0099999999999998</v>
      </c>
      <c r="G47">
        <v>-0.02</v>
      </c>
    </row>
    <row r="48" spans="1:7" x14ac:dyDescent="0.35">
      <c r="A48" t="s">
        <v>70</v>
      </c>
      <c r="B48" t="s">
        <v>67</v>
      </c>
      <c r="C48" t="s">
        <v>53</v>
      </c>
      <c r="D48">
        <v>-1.03</v>
      </c>
      <c r="E48">
        <v>-2.4</v>
      </c>
      <c r="F48">
        <v>1.33</v>
      </c>
      <c r="G48">
        <v>-0.11</v>
      </c>
    </row>
    <row r="49" spans="1:7" x14ac:dyDescent="0.35">
      <c r="A49" t="s">
        <v>70</v>
      </c>
      <c r="B49" t="s">
        <v>67</v>
      </c>
      <c r="C49" t="s">
        <v>53</v>
      </c>
      <c r="D49">
        <v>4.32</v>
      </c>
      <c r="E49">
        <v>-1.76</v>
      </c>
      <c r="F49">
        <v>2.14</v>
      </c>
      <c r="G49">
        <v>-0.04</v>
      </c>
    </row>
    <row r="50" spans="1:7" x14ac:dyDescent="0.35">
      <c r="A50" t="s">
        <v>70</v>
      </c>
      <c r="B50" t="s">
        <v>67</v>
      </c>
      <c r="C50" t="s">
        <v>53</v>
      </c>
      <c r="D50">
        <v>1.43</v>
      </c>
      <c r="E50">
        <v>-2.57</v>
      </c>
      <c r="F50">
        <v>1.2</v>
      </c>
      <c r="G50">
        <v>-0.06</v>
      </c>
    </row>
    <row r="51" spans="1:7" x14ac:dyDescent="0.35">
      <c r="A51" t="s">
        <v>70</v>
      </c>
      <c r="B51" t="s">
        <v>67</v>
      </c>
      <c r="C51" t="s">
        <v>53</v>
      </c>
      <c r="D51">
        <v>1.43</v>
      </c>
      <c r="E51">
        <v>-1.93</v>
      </c>
      <c r="F51">
        <v>2.06</v>
      </c>
      <c r="G51">
        <v>-7.0000000000000007E-2</v>
      </c>
    </row>
    <row r="52" spans="1:7" x14ac:dyDescent="0.35">
      <c r="A52" t="s">
        <v>70</v>
      </c>
      <c r="B52" t="s">
        <v>67</v>
      </c>
      <c r="C52" t="s">
        <v>53</v>
      </c>
      <c r="D52">
        <v>1.56</v>
      </c>
      <c r="E52">
        <v>-2.78</v>
      </c>
      <c r="F52">
        <v>1.1200000000000001</v>
      </c>
      <c r="G52">
        <v>-0.06</v>
      </c>
    </row>
    <row r="53" spans="1:7" x14ac:dyDescent="0.35">
      <c r="A53" t="s">
        <v>70</v>
      </c>
      <c r="B53" t="s">
        <v>67</v>
      </c>
      <c r="C53" t="s">
        <v>53</v>
      </c>
      <c r="D53">
        <v>0.8</v>
      </c>
      <c r="E53">
        <v>-1.92</v>
      </c>
      <c r="F53">
        <v>2.14</v>
      </c>
      <c r="G53">
        <v>-0.06</v>
      </c>
    </row>
    <row r="54" spans="1:7" x14ac:dyDescent="0.35">
      <c r="A54" t="s">
        <v>70</v>
      </c>
      <c r="B54" t="s">
        <v>67</v>
      </c>
      <c r="C54" t="s">
        <v>53</v>
      </c>
      <c r="D54">
        <v>1.01</v>
      </c>
      <c r="E54">
        <v>-2.95</v>
      </c>
      <c r="F54">
        <v>0.91</v>
      </c>
      <c r="G54">
        <v>-0.06</v>
      </c>
    </row>
    <row r="55" spans="1:7" x14ac:dyDescent="0.35">
      <c r="A55" t="s">
        <v>70</v>
      </c>
      <c r="B55" t="s">
        <v>67</v>
      </c>
      <c r="C55" t="s">
        <v>53</v>
      </c>
      <c r="D55">
        <v>3.6</v>
      </c>
      <c r="E55">
        <v>-2.19</v>
      </c>
      <c r="F55">
        <v>1.48</v>
      </c>
      <c r="G55">
        <v>-0.08</v>
      </c>
    </row>
    <row r="56" spans="1:7" x14ac:dyDescent="0.35">
      <c r="A56" t="s">
        <v>70</v>
      </c>
      <c r="B56" t="s">
        <v>67</v>
      </c>
      <c r="C56" t="s">
        <v>53</v>
      </c>
      <c r="D56">
        <v>1.22</v>
      </c>
      <c r="E56">
        <v>-2.74</v>
      </c>
      <c r="F56">
        <v>0.97</v>
      </c>
      <c r="G56">
        <v>7.0000000000000007E-2</v>
      </c>
    </row>
    <row r="57" spans="1:7" x14ac:dyDescent="0.35">
      <c r="A57" t="s">
        <v>70</v>
      </c>
      <c r="B57" t="s">
        <v>67</v>
      </c>
      <c r="C57" t="s">
        <v>53</v>
      </c>
      <c r="D57">
        <v>-1.41</v>
      </c>
      <c r="E57">
        <v>-1.68</v>
      </c>
      <c r="F57">
        <v>2.31</v>
      </c>
      <c r="G57">
        <v>-0.08</v>
      </c>
    </row>
    <row r="58" spans="1:7" x14ac:dyDescent="0.35">
      <c r="A58" t="s">
        <v>70</v>
      </c>
      <c r="B58" t="s">
        <v>67</v>
      </c>
      <c r="C58" t="s">
        <v>53</v>
      </c>
      <c r="D58">
        <v>3.56</v>
      </c>
      <c r="E58">
        <v>-2.19</v>
      </c>
      <c r="F58">
        <v>1.71</v>
      </c>
      <c r="G58">
        <v>-0.08</v>
      </c>
    </row>
    <row r="59" spans="1:7" x14ac:dyDescent="0.35">
      <c r="A59" t="s">
        <v>70</v>
      </c>
      <c r="B59" t="s">
        <v>67</v>
      </c>
      <c r="C59" t="s">
        <v>53</v>
      </c>
      <c r="D59">
        <v>5.94</v>
      </c>
      <c r="E59">
        <v>-2.2599999999999998</v>
      </c>
      <c r="F59">
        <v>1.5</v>
      </c>
      <c r="G59">
        <v>-0.02</v>
      </c>
    </row>
    <row r="60" spans="1:7" x14ac:dyDescent="0.35">
      <c r="A60" t="s">
        <v>70</v>
      </c>
      <c r="B60" t="s">
        <v>67</v>
      </c>
      <c r="C60" t="s">
        <v>53</v>
      </c>
      <c r="D60">
        <v>-1.71</v>
      </c>
      <c r="E60">
        <v>-2.79</v>
      </c>
      <c r="F60">
        <v>1.21</v>
      </c>
      <c r="G60">
        <v>-0.04</v>
      </c>
    </row>
    <row r="61" spans="1:7" x14ac:dyDescent="0.35">
      <c r="A61" t="s">
        <v>70</v>
      </c>
      <c r="B61" t="s">
        <v>67</v>
      </c>
      <c r="C61" t="s">
        <v>53</v>
      </c>
      <c r="D61">
        <v>0.33</v>
      </c>
      <c r="E61">
        <v>-3.41</v>
      </c>
      <c r="F61">
        <v>0.37</v>
      </c>
      <c r="G61">
        <v>-0.02</v>
      </c>
    </row>
    <row r="62" spans="1:7" x14ac:dyDescent="0.35">
      <c r="A62" t="s">
        <v>70</v>
      </c>
      <c r="B62" t="s">
        <v>67</v>
      </c>
      <c r="C62" t="s">
        <v>53</v>
      </c>
      <c r="D62">
        <v>0.5</v>
      </c>
      <c r="E62">
        <v>-2.64</v>
      </c>
      <c r="F62">
        <v>1.01</v>
      </c>
      <c r="G62">
        <v>-0.06</v>
      </c>
    </row>
    <row r="63" spans="1:7" x14ac:dyDescent="0.35">
      <c r="A63" t="s">
        <v>70</v>
      </c>
      <c r="B63" t="s">
        <v>67</v>
      </c>
      <c r="C63" t="s">
        <v>53</v>
      </c>
      <c r="D63">
        <v>0.57999999999999996</v>
      </c>
      <c r="E63">
        <v>-3.37</v>
      </c>
      <c r="F63">
        <v>0.59</v>
      </c>
      <c r="G63">
        <v>-0.04</v>
      </c>
    </row>
    <row r="64" spans="1:7" x14ac:dyDescent="0.35">
      <c r="A64" t="s">
        <v>70</v>
      </c>
      <c r="B64" t="s">
        <v>67</v>
      </c>
      <c r="C64" t="s">
        <v>53</v>
      </c>
      <c r="D64">
        <v>0.03</v>
      </c>
      <c r="E64">
        <v>-3.29</v>
      </c>
      <c r="F64">
        <v>0.4</v>
      </c>
      <c r="G64">
        <v>0</v>
      </c>
    </row>
    <row r="65" spans="1:7" x14ac:dyDescent="0.35">
      <c r="A65" t="s">
        <v>70</v>
      </c>
      <c r="B65" t="s">
        <v>71</v>
      </c>
      <c r="C65" t="s">
        <v>53</v>
      </c>
      <c r="D65">
        <v>-9.39</v>
      </c>
      <c r="E65">
        <v>-6.97</v>
      </c>
      <c r="F65">
        <v>-3.57</v>
      </c>
      <c r="G65">
        <v>-0.02</v>
      </c>
    </row>
    <row r="66" spans="1:7" x14ac:dyDescent="0.35">
      <c r="A66" t="s">
        <v>70</v>
      </c>
      <c r="B66" t="s">
        <v>71</v>
      </c>
      <c r="C66" t="s">
        <v>53</v>
      </c>
      <c r="D66">
        <v>-5.25</v>
      </c>
      <c r="E66">
        <v>-5.27</v>
      </c>
      <c r="F66">
        <v>-1.58</v>
      </c>
      <c r="G66">
        <v>-0.1</v>
      </c>
    </row>
    <row r="67" spans="1:7" x14ac:dyDescent="0.35">
      <c r="A67" t="s">
        <v>70</v>
      </c>
      <c r="B67" t="s">
        <v>71</v>
      </c>
      <c r="C67" t="s">
        <v>53</v>
      </c>
      <c r="D67">
        <v>-6.46</v>
      </c>
      <c r="E67">
        <v>-4.82</v>
      </c>
      <c r="F67">
        <v>-1.3</v>
      </c>
      <c r="G67">
        <v>-0.1</v>
      </c>
    </row>
    <row r="68" spans="1:7" x14ac:dyDescent="0.35">
      <c r="A68" t="s">
        <v>70</v>
      </c>
      <c r="B68" t="s">
        <v>71</v>
      </c>
      <c r="C68" t="s">
        <v>53</v>
      </c>
      <c r="D68">
        <v>-4.4000000000000004</v>
      </c>
      <c r="E68">
        <v>-5.12</v>
      </c>
      <c r="F68">
        <v>-1.83</v>
      </c>
      <c r="G68">
        <v>-0.04</v>
      </c>
    </row>
    <row r="69" spans="1:7" x14ac:dyDescent="0.35">
      <c r="A69" t="s">
        <v>70</v>
      </c>
      <c r="B69" t="s">
        <v>71</v>
      </c>
      <c r="C69" t="s">
        <v>53</v>
      </c>
      <c r="D69">
        <v>-5.65</v>
      </c>
      <c r="E69">
        <v>-5.33</v>
      </c>
      <c r="F69">
        <v>-1.92</v>
      </c>
      <c r="G69">
        <v>-0.06</v>
      </c>
    </row>
    <row r="70" spans="1:7" x14ac:dyDescent="0.35">
      <c r="A70" t="s">
        <v>70</v>
      </c>
      <c r="B70" t="s">
        <v>71</v>
      </c>
      <c r="C70" t="s">
        <v>53</v>
      </c>
      <c r="D70">
        <v>-6.08</v>
      </c>
      <c r="E70">
        <v>-4.4400000000000004</v>
      </c>
      <c r="F70">
        <v>-1.02</v>
      </c>
      <c r="G70">
        <v>0</v>
      </c>
    </row>
    <row r="71" spans="1:7" x14ac:dyDescent="0.35">
      <c r="A71" t="s">
        <v>70</v>
      </c>
      <c r="B71" t="s">
        <v>71</v>
      </c>
      <c r="C71" t="s">
        <v>53</v>
      </c>
      <c r="D71">
        <v>-6.1</v>
      </c>
      <c r="E71">
        <v>-5.16</v>
      </c>
      <c r="F71">
        <v>-1.6</v>
      </c>
      <c r="G71">
        <v>-0.06</v>
      </c>
    </row>
    <row r="72" spans="1:7" x14ac:dyDescent="0.35">
      <c r="A72" t="s">
        <v>70</v>
      </c>
      <c r="B72" t="s">
        <v>71</v>
      </c>
      <c r="C72" t="s">
        <v>53</v>
      </c>
      <c r="D72">
        <v>-4.04</v>
      </c>
      <c r="E72">
        <v>-4.6900000000000004</v>
      </c>
      <c r="F72">
        <v>-1.39</v>
      </c>
      <c r="G72">
        <v>-0.08</v>
      </c>
    </row>
    <row r="73" spans="1:7" x14ac:dyDescent="0.35">
      <c r="A73" t="s">
        <v>70</v>
      </c>
      <c r="B73" t="s">
        <v>71</v>
      </c>
      <c r="C73" t="s">
        <v>53</v>
      </c>
      <c r="D73">
        <v>-5.46</v>
      </c>
      <c r="E73">
        <v>-5.2</v>
      </c>
      <c r="F73">
        <v>-1.79</v>
      </c>
      <c r="G73">
        <v>-0.1</v>
      </c>
    </row>
    <row r="74" spans="1:7" x14ac:dyDescent="0.35">
      <c r="A74" t="s">
        <v>70</v>
      </c>
      <c r="B74" t="s">
        <v>71</v>
      </c>
      <c r="C74" t="s">
        <v>53</v>
      </c>
      <c r="D74">
        <v>-4.46</v>
      </c>
      <c r="E74">
        <v>-4.6100000000000003</v>
      </c>
      <c r="F74">
        <v>-1.26</v>
      </c>
      <c r="G74">
        <v>-0.1</v>
      </c>
    </row>
    <row r="75" spans="1:7" x14ac:dyDescent="0.35">
      <c r="A75" t="s">
        <v>70</v>
      </c>
      <c r="B75" t="s">
        <v>71</v>
      </c>
      <c r="C75" t="s">
        <v>53</v>
      </c>
      <c r="D75">
        <v>-6.82</v>
      </c>
      <c r="E75">
        <v>-5.21</v>
      </c>
      <c r="F75">
        <v>-1.73</v>
      </c>
      <c r="G75">
        <v>-0.06</v>
      </c>
    </row>
    <row r="76" spans="1:7" x14ac:dyDescent="0.35">
      <c r="A76" t="s">
        <v>70</v>
      </c>
      <c r="B76" t="s">
        <v>71</v>
      </c>
      <c r="C76" t="s">
        <v>53</v>
      </c>
      <c r="D76">
        <v>-3.74</v>
      </c>
      <c r="E76">
        <v>-2.84</v>
      </c>
      <c r="F76">
        <v>0.67</v>
      </c>
      <c r="G76">
        <v>-0.08</v>
      </c>
    </row>
    <row r="77" spans="1:7" x14ac:dyDescent="0.35">
      <c r="A77" t="s">
        <v>70</v>
      </c>
      <c r="B77" t="s">
        <v>71</v>
      </c>
      <c r="C77" t="s">
        <v>53</v>
      </c>
      <c r="D77">
        <v>-3.95</v>
      </c>
      <c r="E77">
        <v>-4.84</v>
      </c>
      <c r="F77">
        <v>-1.3</v>
      </c>
      <c r="G77">
        <v>-0.04</v>
      </c>
    </row>
    <row r="78" spans="1:7" x14ac:dyDescent="0.35">
      <c r="A78" t="s">
        <v>70</v>
      </c>
      <c r="B78" t="s">
        <v>71</v>
      </c>
      <c r="C78" t="s">
        <v>53</v>
      </c>
      <c r="D78">
        <v>-5.08</v>
      </c>
      <c r="E78">
        <v>-4.99</v>
      </c>
      <c r="F78">
        <v>-1.39</v>
      </c>
      <c r="G78">
        <v>-0.08</v>
      </c>
    </row>
    <row r="79" spans="1:7" x14ac:dyDescent="0.35">
      <c r="A79" t="s">
        <v>70</v>
      </c>
      <c r="B79" t="s">
        <v>71</v>
      </c>
      <c r="C79" t="s">
        <v>53</v>
      </c>
      <c r="D79">
        <v>-6.42</v>
      </c>
      <c r="E79">
        <v>-5.0999999999999996</v>
      </c>
      <c r="F79">
        <v>-1.68</v>
      </c>
      <c r="G79">
        <v>-0.08</v>
      </c>
    </row>
    <row r="80" spans="1:7" x14ac:dyDescent="0.35">
      <c r="A80" t="s">
        <v>70</v>
      </c>
      <c r="B80" t="s">
        <v>71</v>
      </c>
      <c r="C80" t="s">
        <v>53</v>
      </c>
      <c r="D80">
        <v>-4.4000000000000004</v>
      </c>
      <c r="E80">
        <v>-4.72</v>
      </c>
      <c r="F80">
        <v>-1.0900000000000001</v>
      </c>
      <c r="G80">
        <v>-0.02</v>
      </c>
    </row>
    <row r="81" spans="1:7" x14ac:dyDescent="0.35">
      <c r="A81" t="s">
        <v>70</v>
      </c>
      <c r="B81" t="s">
        <v>71</v>
      </c>
      <c r="C81" t="s">
        <v>53</v>
      </c>
      <c r="D81">
        <v>-5.8</v>
      </c>
      <c r="E81">
        <v>-4.6100000000000003</v>
      </c>
      <c r="F81">
        <v>-1.22</v>
      </c>
      <c r="G81">
        <v>-0.04</v>
      </c>
    </row>
    <row r="82" spans="1:7" x14ac:dyDescent="0.35">
      <c r="A82" t="s">
        <v>70</v>
      </c>
      <c r="B82" t="s">
        <v>71</v>
      </c>
      <c r="C82" t="s">
        <v>53</v>
      </c>
      <c r="D82">
        <v>-5</v>
      </c>
      <c r="E82">
        <v>-4.5</v>
      </c>
      <c r="F82">
        <v>-1.1299999999999999</v>
      </c>
      <c r="G82">
        <v>-0.06</v>
      </c>
    </row>
    <row r="83" spans="1:7" x14ac:dyDescent="0.35">
      <c r="A83" t="s">
        <v>70</v>
      </c>
      <c r="B83" t="s">
        <v>71</v>
      </c>
      <c r="C83" t="s">
        <v>53</v>
      </c>
      <c r="D83">
        <v>-4.12</v>
      </c>
      <c r="E83">
        <v>-5.69</v>
      </c>
      <c r="F83">
        <v>-2.0699999999999998</v>
      </c>
      <c r="G83">
        <v>-0.04</v>
      </c>
    </row>
    <row r="84" spans="1:7" x14ac:dyDescent="0.35">
      <c r="A84" t="s">
        <v>70</v>
      </c>
      <c r="B84" t="s">
        <v>71</v>
      </c>
      <c r="C84" t="s">
        <v>53</v>
      </c>
      <c r="D84">
        <v>-6.59</v>
      </c>
      <c r="E84">
        <v>-5.65</v>
      </c>
      <c r="F84">
        <v>-2.39</v>
      </c>
      <c r="G84">
        <v>-0.04</v>
      </c>
    </row>
    <row r="85" spans="1:7" x14ac:dyDescent="0.35">
      <c r="A85" t="s">
        <v>68</v>
      </c>
      <c r="B85" t="s">
        <v>71</v>
      </c>
      <c r="C85" t="s">
        <v>53</v>
      </c>
      <c r="D85">
        <v>-14.22</v>
      </c>
      <c r="E85">
        <v>-14.66</v>
      </c>
      <c r="F85">
        <v>-9.65</v>
      </c>
      <c r="G85">
        <v>0.02</v>
      </c>
    </row>
    <row r="86" spans="1:7" x14ac:dyDescent="0.35">
      <c r="A86" t="s">
        <v>68</v>
      </c>
      <c r="B86" t="s">
        <v>71</v>
      </c>
      <c r="C86" t="s">
        <v>53</v>
      </c>
      <c r="D86">
        <v>-7.65</v>
      </c>
      <c r="E86">
        <v>-9.58</v>
      </c>
      <c r="F86">
        <v>-5.85</v>
      </c>
      <c r="G86">
        <v>-0.02</v>
      </c>
    </row>
    <row r="87" spans="1:7" x14ac:dyDescent="0.35">
      <c r="A87" t="s">
        <v>68</v>
      </c>
      <c r="B87" t="s">
        <v>71</v>
      </c>
      <c r="C87" t="s">
        <v>53</v>
      </c>
      <c r="D87">
        <v>-8.02</v>
      </c>
      <c r="E87">
        <v>-10.199999999999999</v>
      </c>
      <c r="F87">
        <v>-7.12</v>
      </c>
      <c r="G87">
        <v>0.03</v>
      </c>
    </row>
    <row r="88" spans="1:7" x14ac:dyDescent="0.35">
      <c r="A88" t="s">
        <v>68</v>
      </c>
      <c r="B88" t="s">
        <v>71</v>
      </c>
      <c r="C88" t="s">
        <v>53</v>
      </c>
      <c r="D88">
        <v>-8.23</v>
      </c>
      <c r="E88">
        <v>-9.66</v>
      </c>
      <c r="F88">
        <v>-6.08</v>
      </c>
      <c r="G88">
        <v>-0.04</v>
      </c>
    </row>
    <row r="89" spans="1:7" x14ac:dyDescent="0.35">
      <c r="A89" t="s">
        <v>68</v>
      </c>
      <c r="B89" t="s">
        <v>71</v>
      </c>
      <c r="C89" t="s">
        <v>53</v>
      </c>
      <c r="D89">
        <v>-9.44</v>
      </c>
      <c r="E89">
        <v>-11.19</v>
      </c>
      <c r="F89">
        <v>-7.72</v>
      </c>
      <c r="G89">
        <v>-0.04</v>
      </c>
    </row>
    <row r="90" spans="1:7" x14ac:dyDescent="0.35">
      <c r="A90" t="s">
        <v>68</v>
      </c>
      <c r="B90" t="s">
        <v>71</v>
      </c>
      <c r="C90" t="s">
        <v>53</v>
      </c>
      <c r="D90">
        <v>-9.84</v>
      </c>
      <c r="E90">
        <v>-9.5</v>
      </c>
      <c r="F90">
        <v>-5.64</v>
      </c>
      <c r="G90">
        <v>-0.06</v>
      </c>
    </row>
    <row r="91" spans="1:7" x14ac:dyDescent="0.35">
      <c r="A91" t="s">
        <v>68</v>
      </c>
      <c r="B91" t="s">
        <v>71</v>
      </c>
      <c r="C91" t="s">
        <v>53</v>
      </c>
      <c r="D91">
        <v>-9.89</v>
      </c>
      <c r="E91">
        <v>-9.2799999999999994</v>
      </c>
      <c r="F91">
        <v>-5.72</v>
      </c>
      <c r="G91">
        <v>-0.04</v>
      </c>
    </row>
    <row r="92" spans="1:7" x14ac:dyDescent="0.35">
      <c r="A92" t="s">
        <v>68</v>
      </c>
      <c r="B92" t="s">
        <v>71</v>
      </c>
      <c r="C92" t="s">
        <v>53</v>
      </c>
      <c r="D92">
        <v>-9.93</v>
      </c>
      <c r="E92">
        <v>-11.02</v>
      </c>
      <c r="F92">
        <v>-7.44</v>
      </c>
      <c r="G92">
        <v>-0.02</v>
      </c>
    </row>
    <row r="93" spans="1:7" x14ac:dyDescent="0.35">
      <c r="A93" t="s">
        <v>68</v>
      </c>
      <c r="B93" t="s">
        <v>71</v>
      </c>
      <c r="C93" t="s">
        <v>53</v>
      </c>
      <c r="D93">
        <v>-11.39</v>
      </c>
      <c r="E93">
        <v>-10.73</v>
      </c>
      <c r="F93">
        <v>-7.18</v>
      </c>
      <c r="G93">
        <v>-0.04</v>
      </c>
    </row>
    <row r="94" spans="1:7" x14ac:dyDescent="0.35">
      <c r="A94" t="s">
        <v>68</v>
      </c>
      <c r="B94" t="s">
        <v>71</v>
      </c>
      <c r="C94" t="s">
        <v>53</v>
      </c>
      <c r="D94">
        <v>-8.5</v>
      </c>
      <c r="E94">
        <v>-9.77</v>
      </c>
      <c r="F94">
        <v>-6.36</v>
      </c>
      <c r="G94">
        <v>0</v>
      </c>
    </row>
    <row r="95" spans="1:7" x14ac:dyDescent="0.35">
      <c r="A95" t="s">
        <v>68</v>
      </c>
      <c r="B95" t="s">
        <v>71</v>
      </c>
      <c r="C95" t="s">
        <v>53</v>
      </c>
      <c r="D95">
        <v>-10.93</v>
      </c>
      <c r="E95">
        <v>-11.13</v>
      </c>
      <c r="F95">
        <v>-7.44</v>
      </c>
      <c r="G95">
        <v>-0.08</v>
      </c>
    </row>
    <row r="96" spans="1:7" x14ac:dyDescent="0.35">
      <c r="A96" t="s">
        <v>68</v>
      </c>
      <c r="B96" t="s">
        <v>71</v>
      </c>
      <c r="C96" t="s">
        <v>53</v>
      </c>
      <c r="D96">
        <v>-10.08</v>
      </c>
      <c r="E96">
        <v>-10.220000000000001</v>
      </c>
      <c r="F96">
        <v>-6.8</v>
      </c>
      <c r="G96">
        <v>-0.04</v>
      </c>
    </row>
    <row r="97" spans="1:7" x14ac:dyDescent="0.35">
      <c r="A97" t="s">
        <v>68</v>
      </c>
      <c r="B97" t="s">
        <v>71</v>
      </c>
      <c r="C97" t="s">
        <v>53</v>
      </c>
      <c r="D97">
        <v>-12.5</v>
      </c>
      <c r="E97">
        <v>-13.59</v>
      </c>
      <c r="F97">
        <v>-9.84</v>
      </c>
      <c r="G97">
        <v>-0.08</v>
      </c>
    </row>
    <row r="98" spans="1:7" x14ac:dyDescent="0.35">
      <c r="A98" t="s">
        <v>68</v>
      </c>
      <c r="B98" t="s">
        <v>71</v>
      </c>
      <c r="C98" t="s">
        <v>53</v>
      </c>
      <c r="D98">
        <v>-9.23</v>
      </c>
      <c r="E98">
        <v>-11.41</v>
      </c>
      <c r="F98">
        <v>-8.0299999999999994</v>
      </c>
      <c r="G98">
        <v>-0.04</v>
      </c>
    </row>
    <row r="99" spans="1:7" x14ac:dyDescent="0.35">
      <c r="A99" t="s">
        <v>68</v>
      </c>
      <c r="B99" t="s">
        <v>71</v>
      </c>
      <c r="C99" t="s">
        <v>53</v>
      </c>
      <c r="D99">
        <v>-9.48</v>
      </c>
      <c r="E99">
        <v>-10.33</v>
      </c>
      <c r="F99">
        <v>-7</v>
      </c>
      <c r="G99">
        <v>0</v>
      </c>
    </row>
    <row r="100" spans="1:7" x14ac:dyDescent="0.35">
      <c r="A100" t="s">
        <v>68</v>
      </c>
      <c r="B100" t="s">
        <v>71</v>
      </c>
      <c r="C100" t="s">
        <v>53</v>
      </c>
      <c r="D100">
        <v>-9.69</v>
      </c>
      <c r="E100">
        <v>-9.3699999999999992</v>
      </c>
      <c r="F100">
        <v>-6.25</v>
      </c>
      <c r="G100">
        <v>-0.06</v>
      </c>
    </row>
    <row r="101" spans="1:7" x14ac:dyDescent="0.35">
      <c r="A101" t="s">
        <v>68</v>
      </c>
      <c r="B101" t="s">
        <v>71</v>
      </c>
      <c r="C101" t="s">
        <v>53</v>
      </c>
      <c r="D101">
        <v>-9.89</v>
      </c>
      <c r="E101">
        <v>-11.85</v>
      </c>
      <c r="F101">
        <v>-8.16</v>
      </c>
      <c r="G101">
        <v>0.02</v>
      </c>
    </row>
    <row r="102" spans="1:7" x14ac:dyDescent="0.35">
      <c r="A102" t="s">
        <v>68</v>
      </c>
      <c r="B102" t="s">
        <v>71</v>
      </c>
      <c r="C102" t="s">
        <v>53</v>
      </c>
      <c r="D102">
        <v>-8.9499999999999993</v>
      </c>
      <c r="E102">
        <v>-12.02</v>
      </c>
      <c r="F102">
        <v>-8.57</v>
      </c>
      <c r="G102">
        <v>-0.06</v>
      </c>
    </row>
    <row r="103" spans="1:7" x14ac:dyDescent="0.35">
      <c r="A103" t="s">
        <v>68</v>
      </c>
      <c r="B103" t="s">
        <v>71</v>
      </c>
      <c r="C103" t="s">
        <v>53</v>
      </c>
      <c r="D103">
        <v>-10.16</v>
      </c>
      <c r="E103">
        <v>-10.32</v>
      </c>
      <c r="F103">
        <v>-6.7</v>
      </c>
      <c r="G103">
        <v>-0.02</v>
      </c>
    </row>
    <row r="104" spans="1:7" x14ac:dyDescent="0.35">
      <c r="A104" t="s">
        <v>68</v>
      </c>
      <c r="B104" t="s">
        <v>71</v>
      </c>
      <c r="C104" t="s">
        <v>53</v>
      </c>
      <c r="D104">
        <v>-10.35</v>
      </c>
      <c r="E104">
        <v>-10.220000000000001</v>
      </c>
      <c r="F104">
        <v>-6.95</v>
      </c>
      <c r="G104">
        <v>-0.04</v>
      </c>
    </row>
    <row r="105" spans="1:7" x14ac:dyDescent="0.35">
      <c r="A105" t="s">
        <v>69</v>
      </c>
      <c r="B105" t="s">
        <v>71</v>
      </c>
      <c r="C105" t="s">
        <v>53</v>
      </c>
      <c r="D105">
        <v>-10.039999999999999</v>
      </c>
      <c r="E105">
        <v>-1.34</v>
      </c>
      <c r="F105">
        <v>-2.9</v>
      </c>
      <c r="G105">
        <v>-0.08</v>
      </c>
    </row>
    <row r="106" spans="1:7" x14ac:dyDescent="0.35">
      <c r="A106" t="s">
        <v>69</v>
      </c>
      <c r="B106" t="s">
        <v>71</v>
      </c>
      <c r="C106" t="s">
        <v>53</v>
      </c>
      <c r="D106">
        <v>-8.1</v>
      </c>
      <c r="E106">
        <v>0.11</v>
      </c>
      <c r="F106">
        <v>-1.37</v>
      </c>
      <c r="G106">
        <v>-0.04</v>
      </c>
    </row>
    <row r="107" spans="1:7" x14ac:dyDescent="0.35">
      <c r="A107" t="s">
        <v>69</v>
      </c>
      <c r="B107" t="s">
        <v>71</v>
      </c>
      <c r="C107" t="s">
        <v>53</v>
      </c>
      <c r="D107">
        <v>-8.1300000000000008</v>
      </c>
      <c r="E107">
        <v>-0.95</v>
      </c>
      <c r="F107">
        <v>-2.34</v>
      </c>
      <c r="G107">
        <v>0</v>
      </c>
    </row>
    <row r="108" spans="1:7" x14ac:dyDescent="0.35">
      <c r="A108" t="s">
        <v>69</v>
      </c>
      <c r="B108" t="s">
        <v>71</v>
      </c>
      <c r="C108" t="s">
        <v>53</v>
      </c>
      <c r="D108">
        <v>-9.42</v>
      </c>
      <c r="E108">
        <v>0.21</v>
      </c>
      <c r="F108">
        <v>-1.1299999999999999</v>
      </c>
      <c r="G108">
        <v>0</v>
      </c>
    </row>
    <row r="109" spans="1:7" x14ac:dyDescent="0.35">
      <c r="A109" t="s">
        <v>69</v>
      </c>
      <c r="B109" t="s">
        <v>71</v>
      </c>
      <c r="C109" t="s">
        <v>53</v>
      </c>
      <c r="D109">
        <v>-8.51</v>
      </c>
      <c r="E109">
        <v>-1.44</v>
      </c>
      <c r="F109">
        <v>-3.2</v>
      </c>
      <c r="G109">
        <v>-0.02</v>
      </c>
    </row>
    <row r="110" spans="1:7" x14ac:dyDescent="0.35">
      <c r="A110" t="s">
        <v>69</v>
      </c>
      <c r="B110" t="s">
        <v>71</v>
      </c>
      <c r="C110" t="s">
        <v>53</v>
      </c>
      <c r="D110">
        <v>-7.57</v>
      </c>
      <c r="E110">
        <v>-0.36</v>
      </c>
      <c r="F110">
        <v>-1.77</v>
      </c>
      <c r="G110">
        <v>-0.08</v>
      </c>
    </row>
    <row r="111" spans="1:7" x14ac:dyDescent="0.35">
      <c r="A111" t="s">
        <v>69</v>
      </c>
      <c r="B111" t="s">
        <v>71</v>
      </c>
      <c r="C111" t="s">
        <v>53</v>
      </c>
      <c r="D111">
        <v>-9.9499999999999993</v>
      </c>
      <c r="E111">
        <v>-0.89</v>
      </c>
      <c r="F111">
        <v>-2.3199999999999998</v>
      </c>
      <c r="G111">
        <v>-0.08</v>
      </c>
    </row>
    <row r="112" spans="1:7" x14ac:dyDescent="0.35">
      <c r="A112" t="s">
        <v>69</v>
      </c>
      <c r="B112" t="s">
        <v>71</v>
      </c>
      <c r="C112" t="s">
        <v>53</v>
      </c>
      <c r="D112">
        <v>-10.25</v>
      </c>
      <c r="E112">
        <v>-1.66</v>
      </c>
      <c r="F112">
        <v>-3.11</v>
      </c>
      <c r="G112">
        <v>-0.04</v>
      </c>
    </row>
    <row r="113" spans="1:7" x14ac:dyDescent="0.35">
      <c r="A113" t="s">
        <v>69</v>
      </c>
      <c r="B113" t="s">
        <v>71</v>
      </c>
      <c r="C113" t="s">
        <v>53</v>
      </c>
      <c r="D113">
        <v>-9.3800000000000008</v>
      </c>
      <c r="E113">
        <v>-1.68</v>
      </c>
      <c r="F113">
        <v>-2.87</v>
      </c>
      <c r="G113">
        <v>-0.06</v>
      </c>
    </row>
    <row r="114" spans="1:7" x14ac:dyDescent="0.35">
      <c r="A114" t="s">
        <v>69</v>
      </c>
      <c r="B114" t="s">
        <v>71</v>
      </c>
      <c r="C114" t="s">
        <v>53</v>
      </c>
      <c r="D114">
        <v>-7.28</v>
      </c>
      <c r="E114">
        <v>-1.08</v>
      </c>
      <c r="F114">
        <v>-2.67</v>
      </c>
      <c r="G114">
        <v>-0.04</v>
      </c>
    </row>
    <row r="115" spans="1:7" x14ac:dyDescent="0.35">
      <c r="A115" t="s">
        <v>69</v>
      </c>
      <c r="B115" t="s">
        <v>71</v>
      </c>
      <c r="C115" t="s">
        <v>53</v>
      </c>
      <c r="D115">
        <v>-7.47</v>
      </c>
      <c r="E115">
        <v>-0.81</v>
      </c>
      <c r="F115">
        <v>-2.2200000000000002</v>
      </c>
      <c r="G115">
        <v>0</v>
      </c>
    </row>
    <row r="116" spans="1:7" x14ac:dyDescent="0.35">
      <c r="A116" t="s">
        <v>69</v>
      </c>
      <c r="B116" t="s">
        <v>71</v>
      </c>
      <c r="C116" t="s">
        <v>53</v>
      </c>
      <c r="D116">
        <v>-8.76</v>
      </c>
      <c r="E116">
        <v>-0.74</v>
      </c>
      <c r="F116">
        <v>-2.56</v>
      </c>
      <c r="G116">
        <v>-0.04</v>
      </c>
    </row>
    <row r="117" spans="1:7" x14ac:dyDescent="0.35">
      <c r="A117" t="s">
        <v>69</v>
      </c>
      <c r="B117" t="s">
        <v>71</v>
      </c>
      <c r="C117" t="s">
        <v>53</v>
      </c>
      <c r="D117">
        <v>-10.210000000000001</v>
      </c>
      <c r="E117">
        <v>-0.28000000000000003</v>
      </c>
      <c r="F117">
        <v>-2.46</v>
      </c>
      <c r="G117">
        <v>0.03</v>
      </c>
    </row>
    <row r="118" spans="1:7" x14ac:dyDescent="0.35">
      <c r="A118" t="s">
        <v>69</v>
      </c>
      <c r="B118" t="s">
        <v>71</v>
      </c>
      <c r="C118" t="s">
        <v>53</v>
      </c>
      <c r="D118">
        <v>-8.27</v>
      </c>
      <c r="E118">
        <v>-2.5099999999999998</v>
      </c>
      <c r="F118">
        <v>1.29</v>
      </c>
      <c r="G118">
        <v>-0.02</v>
      </c>
    </row>
    <row r="119" spans="1:7" x14ac:dyDescent="0.35">
      <c r="A119" t="s">
        <v>69</v>
      </c>
      <c r="B119" t="s">
        <v>71</v>
      </c>
      <c r="C119" t="s">
        <v>53</v>
      </c>
      <c r="D119">
        <v>-9.4</v>
      </c>
      <c r="E119">
        <v>-1.06</v>
      </c>
      <c r="F119">
        <v>-2.39</v>
      </c>
      <c r="G119">
        <v>-0.02</v>
      </c>
    </row>
    <row r="120" spans="1:7" x14ac:dyDescent="0.35">
      <c r="A120" t="s">
        <v>69</v>
      </c>
      <c r="B120" t="s">
        <v>71</v>
      </c>
      <c r="C120" t="s">
        <v>53</v>
      </c>
      <c r="D120">
        <v>-7.47</v>
      </c>
      <c r="E120">
        <v>0.19</v>
      </c>
      <c r="F120">
        <v>-1.71</v>
      </c>
      <c r="G120">
        <v>-0.08</v>
      </c>
    </row>
    <row r="121" spans="1:7" x14ac:dyDescent="0.35">
      <c r="A121" t="s">
        <v>69</v>
      </c>
      <c r="B121" t="s">
        <v>71</v>
      </c>
      <c r="C121" t="s">
        <v>53</v>
      </c>
      <c r="D121">
        <v>-8.83</v>
      </c>
      <c r="E121">
        <v>-0.91</v>
      </c>
      <c r="F121">
        <v>-2.69</v>
      </c>
      <c r="G121">
        <v>0</v>
      </c>
    </row>
    <row r="122" spans="1:7" x14ac:dyDescent="0.35">
      <c r="A122" t="s">
        <v>69</v>
      </c>
      <c r="B122" t="s">
        <v>71</v>
      </c>
      <c r="C122" t="s">
        <v>53</v>
      </c>
      <c r="D122">
        <v>-6.83</v>
      </c>
      <c r="E122">
        <v>-0.76</v>
      </c>
      <c r="F122">
        <v>-2.4300000000000002</v>
      </c>
      <c r="G122">
        <v>-0.06</v>
      </c>
    </row>
    <row r="123" spans="1:7" x14ac:dyDescent="0.35">
      <c r="A123" t="s">
        <v>69</v>
      </c>
      <c r="B123" t="s">
        <v>71</v>
      </c>
      <c r="C123" t="s">
        <v>53</v>
      </c>
      <c r="D123">
        <v>-9.2100000000000009</v>
      </c>
      <c r="E123">
        <v>-1.81</v>
      </c>
      <c r="F123">
        <v>-2.83</v>
      </c>
      <c r="G123">
        <v>-0.04</v>
      </c>
    </row>
    <row r="124" spans="1:7" x14ac:dyDescent="0.35">
      <c r="A124" t="s">
        <v>69</v>
      </c>
      <c r="B124" t="s">
        <v>71</v>
      </c>
      <c r="C124" t="s">
        <v>53</v>
      </c>
      <c r="D124">
        <v>-9.3800000000000008</v>
      </c>
      <c r="E124">
        <v>-1.21</v>
      </c>
      <c r="F124">
        <v>-2.64</v>
      </c>
      <c r="G124">
        <v>-0.08</v>
      </c>
    </row>
    <row r="125" spans="1:7" x14ac:dyDescent="0.35">
      <c r="A125" t="s">
        <v>70</v>
      </c>
      <c r="B125" t="s">
        <v>67</v>
      </c>
      <c r="C125" t="s">
        <v>72</v>
      </c>
      <c r="D125">
        <v>7.59</v>
      </c>
      <c r="E125">
        <v>1.08</v>
      </c>
      <c r="F125">
        <v>2.63</v>
      </c>
      <c r="G125">
        <v>7.0000000000000007E-2</v>
      </c>
    </row>
    <row r="126" spans="1:7" x14ac:dyDescent="0.35">
      <c r="A126" t="s">
        <v>70</v>
      </c>
      <c r="B126" t="s">
        <v>67</v>
      </c>
      <c r="C126" t="s">
        <v>72</v>
      </c>
      <c r="D126">
        <v>3.47</v>
      </c>
      <c r="E126">
        <v>1.51</v>
      </c>
      <c r="F126">
        <v>2.68</v>
      </c>
      <c r="G126">
        <v>-0.1</v>
      </c>
    </row>
    <row r="127" spans="1:7" x14ac:dyDescent="0.35">
      <c r="A127" t="s">
        <v>70</v>
      </c>
      <c r="B127" t="s">
        <v>67</v>
      </c>
      <c r="C127" t="s">
        <v>72</v>
      </c>
      <c r="D127">
        <v>-0.35</v>
      </c>
      <c r="E127">
        <v>-1.8</v>
      </c>
      <c r="F127">
        <v>1.65</v>
      </c>
      <c r="G127">
        <v>0</v>
      </c>
    </row>
    <row r="128" spans="1:7" x14ac:dyDescent="0.35">
      <c r="A128" t="s">
        <v>70</v>
      </c>
      <c r="B128" t="s">
        <v>67</v>
      </c>
      <c r="C128" t="s">
        <v>72</v>
      </c>
      <c r="D128">
        <v>3.51</v>
      </c>
      <c r="E128">
        <v>1.1299999999999999</v>
      </c>
      <c r="F128">
        <v>2.2400000000000002</v>
      </c>
      <c r="G128">
        <v>0.03</v>
      </c>
    </row>
    <row r="129" spans="1:7" x14ac:dyDescent="0.35">
      <c r="A129" t="s">
        <v>70</v>
      </c>
      <c r="B129" t="s">
        <v>67</v>
      </c>
      <c r="C129" t="s">
        <v>72</v>
      </c>
      <c r="D129">
        <v>1.65</v>
      </c>
      <c r="E129">
        <v>-1.1200000000000001</v>
      </c>
      <c r="F129">
        <v>0.35</v>
      </c>
      <c r="G129">
        <v>-0.03</v>
      </c>
    </row>
    <row r="130" spans="1:7" x14ac:dyDescent="0.35">
      <c r="A130" t="s">
        <v>70</v>
      </c>
      <c r="B130" t="s">
        <v>67</v>
      </c>
      <c r="C130" t="s">
        <v>72</v>
      </c>
      <c r="D130">
        <v>2.88</v>
      </c>
      <c r="E130">
        <v>0.41</v>
      </c>
      <c r="F130">
        <v>1.69</v>
      </c>
      <c r="G130">
        <v>0</v>
      </c>
    </row>
    <row r="131" spans="1:7" x14ac:dyDescent="0.35">
      <c r="A131" t="s">
        <v>70</v>
      </c>
      <c r="B131" t="s">
        <v>67</v>
      </c>
      <c r="C131" t="s">
        <v>72</v>
      </c>
      <c r="D131">
        <v>5.98</v>
      </c>
      <c r="E131">
        <v>-0.7</v>
      </c>
      <c r="F131">
        <v>0.5</v>
      </c>
      <c r="G131">
        <v>-0.09</v>
      </c>
    </row>
    <row r="132" spans="1:7" x14ac:dyDescent="0.35">
      <c r="A132" t="s">
        <v>70</v>
      </c>
      <c r="B132" t="s">
        <v>67</v>
      </c>
      <c r="C132" t="s">
        <v>72</v>
      </c>
      <c r="D132">
        <v>2.2799999999999998</v>
      </c>
      <c r="E132">
        <v>-1</v>
      </c>
      <c r="F132">
        <v>0.38</v>
      </c>
      <c r="G132">
        <v>-0.05</v>
      </c>
    </row>
    <row r="133" spans="1:7" x14ac:dyDescent="0.35">
      <c r="A133" t="s">
        <v>70</v>
      </c>
      <c r="B133" t="s">
        <v>67</v>
      </c>
      <c r="C133" t="s">
        <v>72</v>
      </c>
      <c r="D133">
        <v>0.57999999999999996</v>
      </c>
      <c r="E133">
        <v>-1.3</v>
      </c>
      <c r="F133">
        <v>1.97</v>
      </c>
      <c r="G133">
        <v>0.02</v>
      </c>
    </row>
    <row r="134" spans="1:7" x14ac:dyDescent="0.35">
      <c r="A134" t="s">
        <v>70</v>
      </c>
      <c r="B134" t="s">
        <v>67</v>
      </c>
      <c r="C134" t="s">
        <v>72</v>
      </c>
      <c r="D134">
        <v>3.43</v>
      </c>
      <c r="E134">
        <v>-1.29</v>
      </c>
      <c r="F134">
        <v>1.86</v>
      </c>
      <c r="G134">
        <v>-0.04</v>
      </c>
    </row>
    <row r="135" spans="1:7" x14ac:dyDescent="0.35">
      <c r="A135" t="s">
        <v>70</v>
      </c>
      <c r="B135" t="s">
        <v>67</v>
      </c>
      <c r="C135" t="s">
        <v>72</v>
      </c>
      <c r="D135">
        <v>1.05</v>
      </c>
      <c r="E135">
        <v>-1.08</v>
      </c>
      <c r="F135">
        <v>0.38</v>
      </c>
      <c r="G135">
        <v>0</v>
      </c>
    </row>
    <row r="136" spans="1:7" x14ac:dyDescent="0.35">
      <c r="A136" t="s">
        <v>70</v>
      </c>
      <c r="B136" t="s">
        <v>67</v>
      </c>
      <c r="C136" t="s">
        <v>72</v>
      </c>
      <c r="D136">
        <v>1.6</v>
      </c>
      <c r="E136">
        <v>-0.9</v>
      </c>
      <c r="F136">
        <v>0.72</v>
      </c>
      <c r="G136">
        <v>-0.09</v>
      </c>
    </row>
    <row r="137" spans="1:7" x14ac:dyDescent="0.35">
      <c r="A137" t="s">
        <v>70</v>
      </c>
      <c r="B137" t="s">
        <v>67</v>
      </c>
      <c r="C137" t="s">
        <v>72</v>
      </c>
      <c r="D137">
        <v>1.69</v>
      </c>
      <c r="E137">
        <v>-0.65</v>
      </c>
      <c r="F137">
        <v>1.1200000000000001</v>
      </c>
      <c r="G137">
        <v>0.04</v>
      </c>
    </row>
    <row r="138" spans="1:7" x14ac:dyDescent="0.35">
      <c r="A138" t="s">
        <v>70</v>
      </c>
      <c r="B138" t="s">
        <v>67</v>
      </c>
      <c r="C138" t="s">
        <v>72</v>
      </c>
      <c r="D138">
        <v>1.86</v>
      </c>
      <c r="E138">
        <v>-0.44</v>
      </c>
      <c r="F138">
        <v>0.9</v>
      </c>
      <c r="G138">
        <v>-0.04</v>
      </c>
    </row>
    <row r="139" spans="1:7" x14ac:dyDescent="0.35">
      <c r="A139" t="s">
        <v>70</v>
      </c>
      <c r="B139" t="s">
        <v>67</v>
      </c>
      <c r="C139" t="s">
        <v>72</v>
      </c>
      <c r="D139">
        <v>1.94</v>
      </c>
      <c r="E139">
        <v>-0.61</v>
      </c>
      <c r="F139">
        <v>0.71</v>
      </c>
      <c r="G139">
        <v>-0.02</v>
      </c>
    </row>
    <row r="140" spans="1:7" x14ac:dyDescent="0.35">
      <c r="A140" t="s">
        <v>70</v>
      </c>
      <c r="B140" t="s">
        <v>67</v>
      </c>
      <c r="C140" t="s">
        <v>72</v>
      </c>
      <c r="D140">
        <v>2.5</v>
      </c>
      <c r="E140">
        <v>-0.32</v>
      </c>
      <c r="F140">
        <v>0.69</v>
      </c>
      <c r="G140">
        <v>0</v>
      </c>
    </row>
    <row r="141" spans="1:7" x14ac:dyDescent="0.35">
      <c r="A141" t="s">
        <v>70</v>
      </c>
      <c r="B141" t="s">
        <v>67</v>
      </c>
      <c r="C141" t="s">
        <v>72</v>
      </c>
      <c r="D141">
        <v>2.0699999999999998</v>
      </c>
      <c r="E141">
        <v>-0.23</v>
      </c>
      <c r="F141">
        <v>1.07</v>
      </c>
      <c r="G141">
        <v>0</v>
      </c>
    </row>
    <row r="142" spans="1:7" x14ac:dyDescent="0.35">
      <c r="A142" t="s">
        <v>70</v>
      </c>
      <c r="B142" t="s">
        <v>67</v>
      </c>
      <c r="C142" t="s">
        <v>72</v>
      </c>
      <c r="D142">
        <v>7.47</v>
      </c>
      <c r="E142">
        <v>-0.06</v>
      </c>
      <c r="F142">
        <v>1.26</v>
      </c>
      <c r="G142">
        <v>-0.11</v>
      </c>
    </row>
    <row r="143" spans="1:7" x14ac:dyDescent="0.35">
      <c r="A143" t="s">
        <v>70</v>
      </c>
      <c r="B143" t="s">
        <v>67</v>
      </c>
      <c r="C143" t="s">
        <v>72</v>
      </c>
      <c r="D143">
        <v>5.09</v>
      </c>
      <c r="E143">
        <v>-2.27</v>
      </c>
      <c r="F143">
        <v>1.31</v>
      </c>
      <c r="G143">
        <v>0</v>
      </c>
    </row>
    <row r="144" spans="1:7" x14ac:dyDescent="0.35">
      <c r="A144" t="s">
        <v>70</v>
      </c>
      <c r="B144" t="s">
        <v>67</v>
      </c>
      <c r="C144" t="s">
        <v>72</v>
      </c>
      <c r="D144">
        <v>0.16</v>
      </c>
      <c r="E144">
        <v>-2.61</v>
      </c>
      <c r="F144">
        <v>0.8</v>
      </c>
      <c r="G144">
        <v>0.06</v>
      </c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F257-A2DA-4F9E-B0CA-5F18BA4790DA}">
  <dimension ref="A1:C36"/>
  <sheetViews>
    <sheetView topLeftCell="A11" workbookViewId="0">
      <selection activeCell="B27" sqref="B27"/>
    </sheetView>
  </sheetViews>
  <sheetFormatPr defaultRowHeight="14.5" x14ac:dyDescent="0.35"/>
  <cols>
    <col min="1" max="1" width="37.54296875" bestFit="1" customWidth="1"/>
    <col min="2" max="2" width="17.54296875" customWidth="1"/>
    <col min="3" max="3" width="14.81640625" bestFit="1" customWidth="1"/>
    <col min="4" max="4" width="9.81640625" bestFit="1" customWidth="1"/>
    <col min="5" max="5" width="27.1796875" bestFit="1" customWidth="1"/>
    <col min="6" max="6" width="26.54296875" bestFit="1" customWidth="1"/>
    <col min="7" max="7" width="6.81640625" customWidth="1"/>
  </cols>
  <sheetData>
    <row r="1" spans="1:3" x14ac:dyDescent="0.35">
      <c r="A1" s="21" t="s">
        <v>250</v>
      </c>
    </row>
    <row r="2" spans="1:3" x14ac:dyDescent="0.35">
      <c r="A2" t="s">
        <v>272</v>
      </c>
      <c r="B2" t="s">
        <v>273</v>
      </c>
      <c r="C2" t="s">
        <v>274</v>
      </c>
    </row>
    <row r="3" spans="1:3" x14ac:dyDescent="0.35">
      <c r="A3" t="s">
        <v>244</v>
      </c>
      <c r="B3" t="s">
        <v>262</v>
      </c>
    </row>
    <row r="4" spans="1:3" x14ac:dyDescent="0.35">
      <c r="A4" t="s">
        <v>245</v>
      </c>
    </row>
    <row r="5" spans="1:3" x14ac:dyDescent="0.35">
      <c r="A5" t="s">
        <v>246</v>
      </c>
      <c r="B5" t="s">
        <v>263</v>
      </c>
    </row>
    <row r="6" spans="1:3" x14ac:dyDescent="0.35">
      <c r="A6" t="s">
        <v>247</v>
      </c>
      <c r="B6" t="s">
        <v>264</v>
      </c>
      <c r="C6" t="s">
        <v>268</v>
      </c>
    </row>
    <row r="7" spans="1:3" x14ac:dyDescent="0.35">
      <c r="A7" t="s">
        <v>265</v>
      </c>
      <c r="B7" t="s">
        <v>266</v>
      </c>
    </row>
    <row r="8" spans="1:3" x14ac:dyDescent="0.35">
      <c r="A8" t="s">
        <v>248</v>
      </c>
      <c r="B8" t="s">
        <v>267</v>
      </c>
      <c r="C8" t="s">
        <v>269</v>
      </c>
    </row>
    <row r="10" spans="1:3" x14ac:dyDescent="0.35">
      <c r="A10" t="s">
        <v>251</v>
      </c>
    </row>
    <row r="11" spans="1:3" x14ac:dyDescent="0.35">
      <c r="A11" t="s">
        <v>246</v>
      </c>
      <c r="B11" t="s">
        <v>275</v>
      </c>
    </row>
    <row r="12" spans="1:3" x14ac:dyDescent="0.35">
      <c r="A12" t="s">
        <v>247</v>
      </c>
      <c r="B12" t="s">
        <v>271</v>
      </c>
    </row>
    <row r="13" spans="1:3" x14ac:dyDescent="0.35">
      <c r="A13" t="s">
        <v>265</v>
      </c>
    </row>
    <row r="14" spans="1:3" x14ac:dyDescent="0.35">
      <c r="A14" t="s">
        <v>248</v>
      </c>
      <c r="B14" t="s">
        <v>270</v>
      </c>
    </row>
    <row r="16" spans="1:3" x14ac:dyDescent="0.35">
      <c r="A16" t="s">
        <v>249</v>
      </c>
    </row>
    <row r="17" spans="1:2" x14ac:dyDescent="0.35">
      <c r="A17" t="s">
        <v>246</v>
      </c>
      <c r="B17" t="s">
        <v>276</v>
      </c>
    </row>
    <row r="18" spans="1:2" x14ac:dyDescent="0.35">
      <c r="A18" t="s">
        <v>247</v>
      </c>
      <c r="B18" t="s">
        <v>276</v>
      </c>
    </row>
    <row r="19" spans="1:2" x14ac:dyDescent="0.35">
      <c r="A19" t="s">
        <v>265</v>
      </c>
    </row>
    <row r="20" spans="1:2" x14ac:dyDescent="0.35">
      <c r="A20" t="s">
        <v>248</v>
      </c>
      <c r="B20" t="s">
        <v>277</v>
      </c>
    </row>
    <row r="23" spans="1:2" x14ac:dyDescent="0.35">
      <c r="A23" t="s">
        <v>252</v>
      </c>
    </row>
    <row r="24" spans="1:2" x14ac:dyDescent="0.35">
      <c r="A24" t="s">
        <v>253</v>
      </c>
    </row>
    <row r="25" spans="1:2" x14ac:dyDescent="0.35">
      <c r="A25" t="s">
        <v>254</v>
      </c>
    </row>
    <row r="26" spans="1:2" x14ac:dyDescent="0.35">
      <c r="A26" t="s">
        <v>255</v>
      </c>
    </row>
    <row r="27" spans="1:2" x14ac:dyDescent="0.35">
      <c r="A27" t="s">
        <v>256</v>
      </c>
    </row>
    <row r="28" spans="1:2" x14ac:dyDescent="0.35">
      <c r="A28" t="s">
        <v>257</v>
      </c>
    </row>
    <row r="29" spans="1:2" x14ac:dyDescent="0.35">
      <c r="A29" t="s">
        <v>258</v>
      </c>
    </row>
    <row r="30" spans="1:2" x14ac:dyDescent="0.35">
      <c r="A30" t="s">
        <v>259</v>
      </c>
    </row>
    <row r="32" spans="1:2" x14ac:dyDescent="0.35">
      <c r="A32" t="s">
        <v>261</v>
      </c>
    </row>
    <row r="34" spans="1:1" x14ac:dyDescent="0.35">
      <c r="A34" t="s">
        <v>260</v>
      </c>
    </row>
    <row r="36" spans="1:1" x14ac:dyDescent="0.35">
      <c r="A36" t="s">
        <v>78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93D5-FB7B-4DA1-8767-BD94864807FC}">
  <dimension ref="A1:I143"/>
  <sheetViews>
    <sheetView workbookViewId="0">
      <selection activeCell="F23" sqref="F23"/>
    </sheetView>
  </sheetViews>
  <sheetFormatPr defaultRowHeight="14.5" x14ac:dyDescent="0.35"/>
  <cols>
    <col min="1" max="1" width="9" bestFit="1" customWidth="1"/>
    <col min="2" max="3" width="9" customWidth="1"/>
    <col min="4" max="4" width="8" customWidth="1"/>
    <col min="5" max="6" width="17.7265625" customWidth="1"/>
    <col min="7" max="7" width="8.453125" customWidth="1"/>
    <col min="8" max="8" width="13.26953125" customWidth="1"/>
    <col min="9" max="9" width="14.26953125" customWidth="1"/>
    <col min="10" max="10" width="21.7265625" customWidth="1"/>
    <col min="11" max="11" width="11" bestFit="1" customWidth="1"/>
    <col min="12" max="12" width="4.7265625" bestFit="1" customWidth="1"/>
    <col min="13" max="13" width="9" customWidth="1"/>
    <col min="14" max="14" width="6.453125" bestFit="1" customWidth="1"/>
    <col min="15" max="15" width="4.1796875" bestFit="1" customWidth="1"/>
  </cols>
  <sheetData>
    <row r="1" spans="1:9" x14ac:dyDescent="0.35">
      <c r="A1" t="s">
        <v>278</v>
      </c>
      <c r="B1" t="s">
        <v>279</v>
      </c>
      <c r="C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</row>
    <row r="2" spans="1:9" x14ac:dyDescent="0.35">
      <c r="A2">
        <v>5863.8580000000002</v>
      </c>
      <c r="B2">
        <v>5864.0510000000004</v>
      </c>
      <c r="C2">
        <v>5864.2910000000002</v>
      </c>
      <c r="E2">
        <f>B2-A2</f>
        <v>0.193000000000211</v>
      </c>
      <c r="F2">
        <f>C2-A2</f>
        <v>0.43299999999999272</v>
      </c>
      <c r="G2">
        <v>0.40799999999999997</v>
      </c>
      <c r="H2">
        <f>(F2-G2)*249.81</f>
        <v>6.2452499999981894</v>
      </c>
      <c r="I2">
        <v>14.89</v>
      </c>
    </row>
    <row r="3" spans="1:9" x14ac:dyDescent="0.35">
      <c r="A3">
        <v>5870.232</v>
      </c>
      <c r="B3">
        <v>5870.4250000000002</v>
      </c>
      <c r="C3">
        <v>5870.665</v>
      </c>
      <c r="E3">
        <f t="shared" ref="E3:E66" si="0">B3-A3</f>
        <v>0.193000000000211</v>
      </c>
      <c r="F3">
        <f t="shared" ref="F3:F66" si="1">C3-A3</f>
        <v>0.43299999999999272</v>
      </c>
      <c r="G3">
        <v>0.40799999999999997</v>
      </c>
      <c r="H3">
        <f t="shared" ref="H3:H66" si="2">(F3-G3)*249.81</f>
        <v>6.2452499999981894</v>
      </c>
      <c r="I3">
        <v>11.29</v>
      </c>
    </row>
    <row r="4" spans="1:9" x14ac:dyDescent="0.35">
      <c r="A4">
        <v>5876.6570000000002</v>
      </c>
      <c r="B4">
        <v>5876.85</v>
      </c>
      <c r="C4">
        <v>5877.09</v>
      </c>
      <c r="E4">
        <f t="shared" si="0"/>
        <v>0.193000000000211</v>
      </c>
      <c r="F4">
        <f t="shared" si="1"/>
        <v>0.43299999999999272</v>
      </c>
      <c r="G4">
        <v>0.40799999999999997</v>
      </c>
      <c r="H4">
        <f t="shared" si="2"/>
        <v>6.2452499999981894</v>
      </c>
      <c r="I4">
        <v>8.85</v>
      </c>
    </row>
    <row r="5" spans="1:9" x14ac:dyDescent="0.35">
      <c r="A5">
        <v>5883.99</v>
      </c>
      <c r="B5">
        <v>5884.183</v>
      </c>
      <c r="C5">
        <v>5884.4229999999998</v>
      </c>
      <c r="E5">
        <f t="shared" si="0"/>
        <v>0.193000000000211</v>
      </c>
      <c r="F5">
        <f t="shared" si="1"/>
        <v>0.43299999999999272</v>
      </c>
      <c r="G5">
        <v>0.40799999999999997</v>
      </c>
      <c r="H5">
        <f t="shared" si="2"/>
        <v>6.2452499999981894</v>
      </c>
      <c r="I5">
        <v>9.48</v>
      </c>
    </row>
    <row r="6" spans="1:9" x14ac:dyDescent="0.35">
      <c r="A6">
        <v>5890.4229999999998</v>
      </c>
      <c r="B6">
        <v>5890.616</v>
      </c>
      <c r="C6">
        <v>5890.8530000000001</v>
      </c>
      <c r="E6">
        <f t="shared" si="0"/>
        <v>0.193000000000211</v>
      </c>
      <c r="F6">
        <f t="shared" si="1"/>
        <v>0.43000000000029104</v>
      </c>
      <c r="G6">
        <v>0.40799999999999997</v>
      </c>
      <c r="H6">
        <f t="shared" si="2"/>
        <v>5.4958200000727109</v>
      </c>
      <c r="I6">
        <v>9.4</v>
      </c>
    </row>
    <row r="7" spans="1:9" x14ac:dyDescent="0.35">
      <c r="A7">
        <v>5896.7960000000003</v>
      </c>
      <c r="B7">
        <v>5896.9889999999996</v>
      </c>
      <c r="C7">
        <v>5897.2290000000003</v>
      </c>
      <c r="E7">
        <f t="shared" si="0"/>
        <v>0.19299999999930151</v>
      </c>
      <c r="F7">
        <f t="shared" si="1"/>
        <v>0.43299999999999272</v>
      </c>
      <c r="G7">
        <v>0.40799999999999997</v>
      </c>
      <c r="H7">
        <f t="shared" si="2"/>
        <v>6.2452499999981894</v>
      </c>
      <c r="I7">
        <v>11.04</v>
      </c>
    </row>
    <row r="8" spans="1:9" x14ac:dyDescent="0.35">
      <c r="A8">
        <v>5903.19</v>
      </c>
      <c r="B8">
        <v>5903.3829999999998</v>
      </c>
      <c r="C8">
        <v>5903.6229999999996</v>
      </c>
      <c r="E8">
        <f t="shared" si="0"/>
        <v>0.193000000000211</v>
      </c>
      <c r="F8">
        <f t="shared" si="1"/>
        <v>0.43299999999999272</v>
      </c>
      <c r="G8">
        <v>0.40799999999999997</v>
      </c>
      <c r="H8">
        <f t="shared" si="2"/>
        <v>6.2452499999981894</v>
      </c>
      <c r="I8">
        <v>10.36</v>
      </c>
    </row>
    <row r="9" spans="1:9" x14ac:dyDescent="0.35">
      <c r="A9">
        <v>5909.6450000000004</v>
      </c>
      <c r="B9">
        <v>5909.8379999999997</v>
      </c>
      <c r="C9">
        <v>5910.0780000000004</v>
      </c>
      <c r="E9">
        <f t="shared" si="0"/>
        <v>0.19299999999930151</v>
      </c>
      <c r="F9">
        <f t="shared" si="1"/>
        <v>0.43299999999999272</v>
      </c>
      <c r="G9">
        <v>0.40799999999999997</v>
      </c>
      <c r="H9">
        <f t="shared" si="2"/>
        <v>6.2452499999981894</v>
      </c>
      <c r="I9">
        <v>10.79</v>
      </c>
    </row>
    <row r="10" spans="1:9" x14ac:dyDescent="0.35">
      <c r="A10">
        <v>5916.9889999999996</v>
      </c>
      <c r="B10">
        <v>5917.1819999999998</v>
      </c>
      <c r="C10">
        <v>5917.4219999999996</v>
      </c>
      <c r="E10">
        <f t="shared" si="0"/>
        <v>0.193000000000211</v>
      </c>
      <c r="F10">
        <f t="shared" si="1"/>
        <v>0.43299999999999272</v>
      </c>
      <c r="G10">
        <v>0.40799999999999997</v>
      </c>
      <c r="H10">
        <f t="shared" si="2"/>
        <v>6.2452499999981894</v>
      </c>
      <c r="I10">
        <v>10.5</v>
      </c>
    </row>
    <row r="11" spans="1:9" x14ac:dyDescent="0.35">
      <c r="A11">
        <v>5923.4120000000003</v>
      </c>
      <c r="B11">
        <v>5923.6049999999996</v>
      </c>
      <c r="C11">
        <v>5923.8450000000003</v>
      </c>
      <c r="E11">
        <f t="shared" si="0"/>
        <v>0.19299999999930151</v>
      </c>
      <c r="F11">
        <f t="shared" si="1"/>
        <v>0.43299999999999272</v>
      </c>
      <c r="G11">
        <v>0.40799999999999997</v>
      </c>
      <c r="H11">
        <f t="shared" si="2"/>
        <v>6.2452499999981894</v>
      </c>
      <c r="I11">
        <v>11.56</v>
      </c>
    </row>
    <row r="12" spans="1:9" x14ac:dyDescent="0.35">
      <c r="A12">
        <v>5929.7960000000003</v>
      </c>
      <c r="B12">
        <v>5929.9889999999996</v>
      </c>
      <c r="C12">
        <v>5930.2290000000003</v>
      </c>
      <c r="E12">
        <f t="shared" si="0"/>
        <v>0.19299999999930151</v>
      </c>
      <c r="F12">
        <f t="shared" si="1"/>
        <v>0.43299999999999272</v>
      </c>
      <c r="G12">
        <v>0.40799999999999997</v>
      </c>
      <c r="H12">
        <f t="shared" si="2"/>
        <v>6.2452499999981894</v>
      </c>
      <c r="I12">
        <v>10.83</v>
      </c>
    </row>
    <row r="13" spans="1:9" x14ac:dyDescent="0.35">
      <c r="A13">
        <v>5936.2309999999998</v>
      </c>
      <c r="B13">
        <v>5936.424</v>
      </c>
      <c r="C13">
        <v>5936.6639999999998</v>
      </c>
      <c r="E13">
        <f t="shared" si="0"/>
        <v>0.193000000000211</v>
      </c>
      <c r="F13">
        <f t="shared" si="1"/>
        <v>0.43299999999999272</v>
      </c>
      <c r="G13">
        <v>0.40799999999999997</v>
      </c>
      <c r="H13">
        <f t="shared" si="2"/>
        <v>6.2452499999981894</v>
      </c>
      <c r="I13">
        <v>10.19</v>
      </c>
    </row>
    <row r="14" spans="1:9" x14ac:dyDescent="0.35">
      <c r="A14">
        <v>5942.6260000000002</v>
      </c>
      <c r="B14">
        <v>5942.8190000000004</v>
      </c>
      <c r="C14">
        <v>5943.0590000000002</v>
      </c>
      <c r="E14">
        <f t="shared" si="0"/>
        <v>0.193000000000211</v>
      </c>
      <c r="F14">
        <f t="shared" si="1"/>
        <v>0.43299999999999272</v>
      </c>
      <c r="G14">
        <v>0.40799999999999997</v>
      </c>
      <c r="H14">
        <f t="shared" si="2"/>
        <v>6.2452499999981894</v>
      </c>
      <c r="I14">
        <v>10.54</v>
      </c>
    </row>
    <row r="15" spans="1:9" x14ac:dyDescent="0.35">
      <c r="A15">
        <v>5949.9989999999998</v>
      </c>
      <c r="B15">
        <v>5950.192</v>
      </c>
      <c r="C15">
        <v>5950.4250000000002</v>
      </c>
      <c r="E15">
        <f t="shared" si="0"/>
        <v>0.193000000000211</v>
      </c>
      <c r="F15">
        <f t="shared" si="1"/>
        <v>0.42600000000038563</v>
      </c>
      <c r="G15">
        <v>0.40799999999999997</v>
      </c>
      <c r="H15">
        <f t="shared" si="2"/>
        <v>4.4965800000963396</v>
      </c>
      <c r="I15">
        <v>11.64</v>
      </c>
    </row>
    <row r="16" spans="1:9" x14ac:dyDescent="0.35">
      <c r="A16">
        <v>5956.3720000000003</v>
      </c>
      <c r="B16">
        <v>5956.5649999999996</v>
      </c>
      <c r="C16">
        <v>5956.8050000000003</v>
      </c>
      <c r="E16">
        <f t="shared" si="0"/>
        <v>0.19299999999930151</v>
      </c>
      <c r="F16">
        <f t="shared" si="1"/>
        <v>0.43299999999999272</v>
      </c>
      <c r="G16">
        <v>0.40799999999999997</v>
      </c>
      <c r="H16">
        <f t="shared" si="2"/>
        <v>6.2452499999981894</v>
      </c>
      <c r="I16">
        <v>8.0399999999999991</v>
      </c>
    </row>
    <row r="17" spans="1:9" x14ac:dyDescent="0.35">
      <c r="A17">
        <v>5962.8059999999996</v>
      </c>
      <c r="B17">
        <v>5962.9989999999998</v>
      </c>
      <c r="C17">
        <v>5963.2389999999996</v>
      </c>
      <c r="E17">
        <f t="shared" si="0"/>
        <v>0.193000000000211</v>
      </c>
      <c r="F17">
        <f t="shared" si="1"/>
        <v>0.43299999999999272</v>
      </c>
      <c r="G17">
        <v>0.40799999999999997</v>
      </c>
      <c r="H17">
        <f t="shared" si="2"/>
        <v>6.2452499999981894</v>
      </c>
      <c r="I17">
        <v>9.0500000000000007</v>
      </c>
    </row>
    <row r="18" spans="1:9" x14ac:dyDescent="0.35">
      <c r="A18">
        <v>5969.17</v>
      </c>
      <c r="B18">
        <v>5969.3630000000003</v>
      </c>
      <c r="C18">
        <v>5969.6030000000001</v>
      </c>
      <c r="E18">
        <f t="shared" si="0"/>
        <v>0.193000000000211</v>
      </c>
      <c r="F18">
        <f t="shared" si="1"/>
        <v>0.43299999999999272</v>
      </c>
      <c r="G18">
        <v>0.40799999999999997</v>
      </c>
      <c r="H18">
        <f t="shared" si="2"/>
        <v>6.2452499999981894</v>
      </c>
      <c r="I18">
        <v>10.15</v>
      </c>
    </row>
    <row r="19" spans="1:9" x14ac:dyDescent="0.35">
      <c r="A19">
        <v>5975.6149999999998</v>
      </c>
      <c r="B19">
        <v>5975.8050000000003</v>
      </c>
      <c r="C19">
        <v>5976.0450000000001</v>
      </c>
      <c r="E19">
        <f t="shared" si="0"/>
        <v>0.19000000000050932</v>
      </c>
      <c r="F19">
        <f t="shared" si="1"/>
        <v>0.43000000000029104</v>
      </c>
      <c r="G19">
        <v>0.40799999999999997</v>
      </c>
      <c r="H19">
        <f t="shared" si="2"/>
        <v>5.4958200000727109</v>
      </c>
      <c r="I19">
        <v>9.23</v>
      </c>
    </row>
    <row r="20" spans="1:9" x14ac:dyDescent="0.35">
      <c r="A20">
        <v>5982.9380000000001</v>
      </c>
      <c r="B20">
        <v>5983.1310000000003</v>
      </c>
      <c r="C20">
        <v>5983.3680000000004</v>
      </c>
      <c r="E20">
        <f t="shared" si="0"/>
        <v>0.193000000000211</v>
      </c>
      <c r="F20">
        <f t="shared" si="1"/>
        <v>0.43000000000029104</v>
      </c>
      <c r="G20">
        <v>0.40799999999999997</v>
      </c>
      <c r="H20">
        <f t="shared" si="2"/>
        <v>5.4958200000727109</v>
      </c>
      <c r="I20">
        <v>11.51</v>
      </c>
    </row>
    <row r="21" spans="1:9" x14ac:dyDescent="0.35">
      <c r="A21">
        <v>5989.3620000000001</v>
      </c>
      <c r="B21">
        <v>5989.5519999999997</v>
      </c>
      <c r="C21">
        <v>5989.7920000000004</v>
      </c>
      <c r="E21">
        <f t="shared" si="0"/>
        <v>0.18999999999959982</v>
      </c>
      <c r="F21">
        <f t="shared" si="1"/>
        <v>0.43000000000029104</v>
      </c>
      <c r="G21">
        <v>0.40799999999999997</v>
      </c>
      <c r="H21">
        <f t="shared" si="2"/>
        <v>5.4958200000727109</v>
      </c>
      <c r="I21">
        <v>10.119999999999999</v>
      </c>
    </row>
    <row r="22" spans="1:9" x14ac:dyDescent="0.35">
      <c r="A22">
        <v>5995.7550000000001</v>
      </c>
      <c r="B22">
        <v>5995.9480000000003</v>
      </c>
      <c r="C22">
        <v>5996.1880000000001</v>
      </c>
      <c r="E22">
        <f t="shared" si="0"/>
        <v>0.193000000000211</v>
      </c>
      <c r="F22">
        <f t="shared" si="1"/>
        <v>0.43299999999999272</v>
      </c>
      <c r="G22">
        <v>0.40799999999999997</v>
      </c>
      <c r="H22">
        <f t="shared" si="2"/>
        <v>6.2452499999981894</v>
      </c>
      <c r="I22">
        <v>9.0500000000000007</v>
      </c>
    </row>
    <row r="23" spans="1:9" x14ac:dyDescent="0.35">
      <c r="A23">
        <v>6002.1790000000001</v>
      </c>
      <c r="B23">
        <v>6002.3689999999997</v>
      </c>
      <c r="C23">
        <v>6002.6090000000004</v>
      </c>
      <c r="E23">
        <f t="shared" si="0"/>
        <v>0.18999999999959982</v>
      </c>
      <c r="F23">
        <f t="shared" si="1"/>
        <v>0.43000000000029104</v>
      </c>
      <c r="G23">
        <v>0.40799999999999997</v>
      </c>
      <c r="H23">
        <f t="shared" si="2"/>
        <v>5.4958200000727109</v>
      </c>
      <c r="I23">
        <v>10.41</v>
      </c>
    </row>
    <row r="24" spans="1:9" x14ac:dyDescent="0.35">
      <c r="A24">
        <v>6008.5640000000003</v>
      </c>
      <c r="B24">
        <v>6008.7569999999996</v>
      </c>
      <c r="C24">
        <v>6008.9970000000003</v>
      </c>
      <c r="E24">
        <f t="shared" si="0"/>
        <v>0.19299999999930151</v>
      </c>
      <c r="F24">
        <f t="shared" si="1"/>
        <v>0.43299999999999272</v>
      </c>
      <c r="G24">
        <v>0.40799999999999997</v>
      </c>
      <c r="H24">
        <f t="shared" si="2"/>
        <v>6.2452499999981894</v>
      </c>
      <c r="I24">
        <v>10.199999999999999</v>
      </c>
    </row>
    <row r="25" spans="1:9" x14ac:dyDescent="0.35">
      <c r="A25">
        <v>6015.8969999999999</v>
      </c>
      <c r="B25">
        <v>6016.09</v>
      </c>
      <c r="C25">
        <v>6016.3230000000003</v>
      </c>
      <c r="E25">
        <f t="shared" si="0"/>
        <v>0.193000000000211</v>
      </c>
      <c r="F25">
        <f t="shared" si="1"/>
        <v>0.42600000000038563</v>
      </c>
      <c r="G25">
        <v>0.40799999999999997</v>
      </c>
      <c r="H25">
        <f t="shared" si="2"/>
        <v>4.4965800000963396</v>
      </c>
      <c r="I25">
        <v>9.61</v>
      </c>
    </row>
    <row r="26" spans="1:9" x14ac:dyDescent="0.35">
      <c r="A26">
        <v>6022.29</v>
      </c>
      <c r="B26">
        <v>6022.4830000000002</v>
      </c>
      <c r="C26">
        <v>6022.723</v>
      </c>
      <c r="E26">
        <f t="shared" si="0"/>
        <v>0.193000000000211</v>
      </c>
      <c r="F26">
        <f t="shared" si="1"/>
        <v>0.43299999999999272</v>
      </c>
      <c r="G26">
        <v>0.40799999999999997</v>
      </c>
      <c r="H26">
        <f t="shared" si="2"/>
        <v>6.2452499999981894</v>
      </c>
      <c r="I26">
        <v>8.25</v>
      </c>
    </row>
    <row r="27" spans="1:9" x14ac:dyDescent="0.35">
      <c r="A27">
        <v>6028.6639999999998</v>
      </c>
      <c r="B27">
        <v>6028.857</v>
      </c>
      <c r="C27">
        <v>6029.09</v>
      </c>
      <c r="E27">
        <f t="shared" si="0"/>
        <v>0.193000000000211</v>
      </c>
      <c r="F27">
        <f t="shared" si="1"/>
        <v>0.42600000000038563</v>
      </c>
      <c r="G27">
        <v>0.40799999999999997</v>
      </c>
      <c r="H27">
        <f t="shared" si="2"/>
        <v>4.4965800000963396</v>
      </c>
      <c r="I27">
        <v>9.73</v>
      </c>
    </row>
    <row r="28" spans="1:9" x14ac:dyDescent="0.35">
      <c r="A28">
        <v>6035.0990000000002</v>
      </c>
      <c r="B28">
        <v>6035.2920000000004</v>
      </c>
      <c r="C28">
        <v>6035.5320000000002</v>
      </c>
      <c r="E28">
        <f t="shared" si="0"/>
        <v>0.193000000000211</v>
      </c>
      <c r="F28">
        <f t="shared" si="1"/>
        <v>0.43299999999999272</v>
      </c>
      <c r="G28">
        <v>0.40799999999999997</v>
      </c>
      <c r="H28">
        <f t="shared" si="2"/>
        <v>6.2452499999981894</v>
      </c>
      <c r="I28">
        <v>9.43</v>
      </c>
    </row>
    <row r="29" spans="1:9" x14ac:dyDescent="0.35">
      <c r="A29">
        <v>6041.4840000000004</v>
      </c>
      <c r="B29">
        <v>6041.6769999999997</v>
      </c>
      <c r="C29">
        <v>6041.9170000000004</v>
      </c>
      <c r="E29">
        <f t="shared" si="0"/>
        <v>0.19299999999930151</v>
      </c>
      <c r="F29">
        <f t="shared" si="1"/>
        <v>0.43299999999999272</v>
      </c>
      <c r="G29">
        <v>0.40799999999999997</v>
      </c>
      <c r="H29">
        <f t="shared" si="2"/>
        <v>6.2452499999981894</v>
      </c>
      <c r="I29">
        <v>9.27</v>
      </c>
    </row>
    <row r="30" spans="1:9" x14ac:dyDescent="0.35">
      <c r="A30">
        <v>6048.857</v>
      </c>
      <c r="B30">
        <v>6049.05</v>
      </c>
      <c r="C30">
        <v>6049.29</v>
      </c>
      <c r="E30">
        <f t="shared" si="0"/>
        <v>0.193000000000211</v>
      </c>
      <c r="F30">
        <f t="shared" si="1"/>
        <v>0.43299999999999272</v>
      </c>
      <c r="G30">
        <v>0.40799999999999997</v>
      </c>
      <c r="H30">
        <f t="shared" si="2"/>
        <v>6.2452499999981894</v>
      </c>
      <c r="I30">
        <v>10.199999999999999</v>
      </c>
    </row>
    <row r="31" spans="1:9" x14ac:dyDescent="0.35">
      <c r="A31">
        <v>6055.25</v>
      </c>
      <c r="B31">
        <v>6055.4430000000002</v>
      </c>
      <c r="C31">
        <v>6055.6760000000004</v>
      </c>
      <c r="E31">
        <f t="shared" si="0"/>
        <v>0.193000000000211</v>
      </c>
      <c r="F31">
        <f t="shared" si="1"/>
        <v>0.42600000000038563</v>
      </c>
      <c r="G31">
        <v>0.40799999999999997</v>
      </c>
      <c r="H31">
        <f t="shared" si="2"/>
        <v>4.4965800000963396</v>
      </c>
      <c r="I31">
        <v>9.86</v>
      </c>
    </row>
    <row r="32" spans="1:9" x14ac:dyDescent="0.35">
      <c r="A32">
        <v>6061.6840000000002</v>
      </c>
      <c r="B32">
        <v>6061.8770000000004</v>
      </c>
      <c r="C32">
        <v>6062.11</v>
      </c>
      <c r="E32">
        <f t="shared" si="0"/>
        <v>0.193000000000211</v>
      </c>
      <c r="F32">
        <f t="shared" si="1"/>
        <v>0.42599999999947613</v>
      </c>
      <c r="G32">
        <v>0.40799999999999997</v>
      </c>
      <c r="H32">
        <f t="shared" si="2"/>
        <v>4.4965799998691391</v>
      </c>
      <c r="I32">
        <v>7.57</v>
      </c>
    </row>
    <row r="33" spans="1:9" x14ac:dyDescent="0.35">
      <c r="A33">
        <v>6068.0780000000004</v>
      </c>
      <c r="B33">
        <v>6068.2709999999997</v>
      </c>
      <c r="C33">
        <v>6068.5079999999998</v>
      </c>
      <c r="E33">
        <f t="shared" si="0"/>
        <v>0.19299999999930151</v>
      </c>
      <c r="F33">
        <f t="shared" si="1"/>
        <v>0.42999999999938154</v>
      </c>
      <c r="G33">
        <v>0.40799999999999997</v>
      </c>
      <c r="H33">
        <f t="shared" si="2"/>
        <v>5.4958199998455104</v>
      </c>
      <c r="I33">
        <v>6.81</v>
      </c>
    </row>
    <row r="34" spans="1:9" x14ac:dyDescent="0.35">
      <c r="A34">
        <v>6074.5029999999997</v>
      </c>
      <c r="B34">
        <v>6074.6959999999999</v>
      </c>
      <c r="C34">
        <v>6074.933</v>
      </c>
      <c r="E34">
        <f t="shared" si="0"/>
        <v>0.193000000000211</v>
      </c>
      <c r="F34">
        <f t="shared" si="1"/>
        <v>0.43000000000029104</v>
      </c>
      <c r="G34">
        <v>0.40799999999999997</v>
      </c>
      <c r="H34">
        <f t="shared" si="2"/>
        <v>5.4958200000727109</v>
      </c>
      <c r="I34">
        <v>9.61</v>
      </c>
    </row>
    <row r="35" spans="1:9" x14ac:dyDescent="0.35">
      <c r="A35">
        <v>6081.857</v>
      </c>
      <c r="B35">
        <v>6082.0469999999996</v>
      </c>
      <c r="C35">
        <v>6082.2870000000003</v>
      </c>
      <c r="E35">
        <f t="shared" si="0"/>
        <v>0.18999999999959982</v>
      </c>
      <c r="F35">
        <f t="shared" si="1"/>
        <v>0.43000000000029104</v>
      </c>
      <c r="G35">
        <v>0.40799999999999997</v>
      </c>
      <c r="H35">
        <f t="shared" si="2"/>
        <v>5.4958200000727109</v>
      </c>
      <c r="I35">
        <v>9.9</v>
      </c>
    </row>
    <row r="36" spans="1:9" x14ac:dyDescent="0.35">
      <c r="A36">
        <v>6088.2809999999999</v>
      </c>
      <c r="B36">
        <v>6088.4740000000002</v>
      </c>
      <c r="C36">
        <v>6088.7139999999999</v>
      </c>
      <c r="E36">
        <f t="shared" si="0"/>
        <v>0.193000000000211</v>
      </c>
      <c r="F36">
        <f t="shared" si="1"/>
        <v>0.43299999999999272</v>
      </c>
      <c r="G36">
        <v>0.40799999999999997</v>
      </c>
      <c r="H36">
        <f t="shared" si="2"/>
        <v>6.2452499999981894</v>
      </c>
      <c r="I36">
        <v>10.119999999999999</v>
      </c>
    </row>
    <row r="37" spans="1:9" x14ac:dyDescent="0.35">
      <c r="A37">
        <v>6094.6850000000004</v>
      </c>
      <c r="B37">
        <v>6094.8779999999997</v>
      </c>
      <c r="C37">
        <v>6095.1109999999999</v>
      </c>
      <c r="E37">
        <f t="shared" si="0"/>
        <v>0.19299999999930151</v>
      </c>
      <c r="F37">
        <f t="shared" si="1"/>
        <v>0.42599999999947613</v>
      </c>
      <c r="G37">
        <v>0.40799999999999997</v>
      </c>
      <c r="H37">
        <f t="shared" si="2"/>
        <v>4.4965799998691391</v>
      </c>
      <c r="I37">
        <v>8.9700000000000006</v>
      </c>
    </row>
    <row r="38" spans="1:9" x14ac:dyDescent="0.35">
      <c r="A38">
        <v>6101.11</v>
      </c>
      <c r="B38">
        <v>6101.3029999999999</v>
      </c>
      <c r="C38">
        <v>6101.5429999999997</v>
      </c>
      <c r="E38">
        <f t="shared" si="0"/>
        <v>0.193000000000211</v>
      </c>
      <c r="F38">
        <f t="shared" si="1"/>
        <v>0.43299999999999272</v>
      </c>
      <c r="G38">
        <v>0.40799999999999997</v>
      </c>
      <c r="H38">
        <f t="shared" si="2"/>
        <v>6.2452499999981894</v>
      </c>
      <c r="I38">
        <v>8.8800000000000008</v>
      </c>
    </row>
    <row r="39" spans="1:9" x14ac:dyDescent="0.35">
      <c r="A39">
        <v>6107.5039999999999</v>
      </c>
      <c r="B39">
        <v>6107.6970000000001</v>
      </c>
      <c r="C39">
        <v>6107.9340000000002</v>
      </c>
      <c r="E39">
        <f t="shared" si="0"/>
        <v>0.193000000000211</v>
      </c>
      <c r="F39">
        <f t="shared" si="1"/>
        <v>0.43000000000029104</v>
      </c>
      <c r="G39">
        <v>0.40799999999999997</v>
      </c>
      <c r="H39">
        <f t="shared" si="2"/>
        <v>5.4958200000727109</v>
      </c>
      <c r="I39">
        <v>10.29</v>
      </c>
    </row>
    <row r="40" spans="1:9" x14ac:dyDescent="0.35">
      <c r="A40">
        <v>6114.857</v>
      </c>
      <c r="B40">
        <v>6115.05</v>
      </c>
      <c r="C40">
        <v>6115.2870000000003</v>
      </c>
      <c r="E40">
        <f t="shared" si="0"/>
        <v>0.193000000000211</v>
      </c>
      <c r="F40">
        <f t="shared" si="1"/>
        <v>0.43000000000029104</v>
      </c>
      <c r="G40">
        <v>0.40799999999999997</v>
      </c>
      <c r="H40">
        <f t="shared" si="2"/>
        <v>5.4958200000727109</v>
      </c>
      <c r="I40">
        <v>9.9</v>
      </c>
    </row>
    <row r="41" spans="1:9" x14ac:dyDescent="0.35">
      <c r="A41">
        <v>6121.2610000000004</v>
      </c>
      <c r="B41">
        <v>6121.4539999999997</v>
      </c>
      <c r="C41">
        <v>6121.6940000000004</v>
      </c>
      <c r="E41">
        <f t="shared" si="0"/>
        <v>0.19299999999930151</v>
      </c>
      <c r="F41">
        <f t="shared" si="1"/>
        <v>0.43299999999999272</v>
      </c>
      <c r="G41">
        <v>0.40799999999999997</v>
      </c>
      <c r="H41">
        <f t="shared" si="2"/>
        <v>6.2452499999981894</v>
      </c>
      <c r="I41">
        <v>10.07</v>
      </c>
    </row>
    <row r="42" spans="1:9" x14ac:dyDescent="0.35">
      <c r="A42">
        <v>6127.6350000000002</v>
      </c>
      <c r="B42">
        <v>6127.8280000000004</v>
      </c>
      <c r="C42">
        <v>6128.0680000000002</v>
      </c>
      <c r="E42">
        <f t="shared" si="0"/>
        <v>0.193000000000211</v>
      </c>
      <c r="F42">
        <f t="shared" si="1"/>
        <v>0.43299999999999272</v>
      </c>
      <c r="G42">
        <v>0.40799999999999997</v>
      </c>
      <c r="H42">
        <f t="shared" si="2"/>
        <v>6.2452499999981894</v>
      </c>
      <c r="I42">
        <v>11.04</v>
      </c>
    </row>
    <row r="43" spans="1:9" x14ac:dyDescent="0.35">
      <c r="A43">
        <v>6134.07</v>
      </c>
      <c r="B43">
        <v>6134.2629999999999</v>
      </c>
      <c r="C43">
        <v>6134.4960000000001</v>
      </c>
      <c r="E43">
        <f t="shared" si="0"/>
        <v>0.193000000000211</v>
      </c>
      <c r="F43">
        <f t="shared" si="1"/>
        <v>0.42600000000038563</v>
      </c>
      <c r="G43">
        <v>0.40799999999999997</v>
      </c>
      <c r="H43">
        <f t="shared" si="2"/>
        <v>4.4965800000963396</v>
      </c>
      <c r="I43">
        <v>9.64</v>
      </c>
    </row>
    <row r="44" spans="1:9" x14ac:dyDescent="0.35">
      <c r="A44">
        <v>6140.4549999999999</v>
      </c>
      <c r="B44">
        <v>6140.6480000000001</v>
      </c>
      <c r="C44">
        <v>6140.8879999999999</v>
      </c>
      <c r="E44">
        <f t="shared" si="0"/>
        <v>0.193000000000211</v>
      </c>
      <c r="F44">
        <f t="shared" si="1"/>
        <v>0.43299999999999272</v>
      </c>
      <c r="G44">
        <v>0.40799999999999997</v>
      </c>
      <c r="H44">
        <f t="shared" si="2"/>
        <v>6.2452499999981894</v>
      </c>
      <c r="I44">
        <v>9.7799999999999994</v>
      </c>
    </row>
    <row r="45" spans="1:9" x14ac:dyDescent="0.35">
      <c r="A45">
        <v>6147.7879999999996</v>
      </c>
      <c r="B45">
        <v>6147.9809999999998</v>
      </c>
      <c r="C45">
        <v>6148.2179999999998</v>
      </c>
      <c r="E45">
        <f t="shared" si="0"/>
        <v>0.193000000000211</v>
      </c>
      <c r="F45">
        <f t="shared" si="1"/>
        <v>0.43000000000029104</v>
      </c>
      <c r="G45">
        <v>0.40799999999999997</v>
      </c>
      <c r="H45">
        <f t="shared" si="2"/>
        <v>5.4958200000727109</v>
      </c>
      <c r="I45">
        <v>9.9</v>
      </c>
    </row>
    <row r="46" spans="1:9" x14ac:dyDescent="0.35">
      <c r="A46">
        <v>6154.1719999999996</v>
      </c>
      <c r="B46">
        <v>6154.3649999999998</v>
      </c>
      <c r="C46">
        <v>6154.6049999999996</v>
      </c>
      <c r="E46">
        <f t="shared" si="0"/>
        <v>0.193000000000211</v>
      </c>
      <c r="F46">
        <f t="shared" si="1"/>
        <v>0.43299999999999272</v>
      </c>
      <c r="G46">
        <v>0.40799999999999997</v>
      </c>
      <c r="H46">
        <f t="shared" si="2"/>
        <v>6.2452499999981894</v>
      </c>
      <c r="I46">
        <v>10.67</v>
      </c>
    </row>
    <row r="47" spans="1:9" x14ac:dyDescent="0.35">
      <c r="A47">
        <v>6160.616</v>
      </c>
      <c r="B47">
        <v>6160.8090000000002</v>
      </c>
      <c r="C47">
        <v>6161.049</v>
      </c>
      <c r="E47">
        <f t="shared" si="0"/>
        <v>0.193000000000211</v>
      </c>
      <c r="F47">
        <f t="shared" si="1"/>
        <v>0.43299999999999272</v>
      </c>
      <c r="G47">
        <v>0.40799999999999997</v>
      </c>
      <c r="H47">
        <f t="shared" si="2"/>
        <v>6.2452499999981894</v>
      </c>
      <c r="I47">
        <v>9.43</v>
      </c>
    </row>
    <row r="48" spans="1:9" x14ac:dyDescent="0.35">
      <c r="A48">
        <v>6167.01</v>
      </c>
      <c r="B48">
        <v>6167.2030000000004</v>
      </c>
      <c r="C48">
        <v>6167.4520000000002</v>
      </c>
      <c r="E48">
        <f t="shared" si="0"/>
        <v>0.193000000000211</v>
      </c>
      <c r="F48">
        <f t="shared" si="1"/>
        <v>0.44200000000000728</v>
      </c>
      <c r="G48">
        <v>0.40799999999999997</v>
      </c>
      <c r="H48">
        <f t="shared" si="2"/>
        <v>8.4935400000018237</v>
      </c>
      <c r="I48">
        <v>10.15</v>
      </c>
    </row>
    <row r="49" spans="1:9" x14ac:dyDescent="0.35">
      <c r="A49">
        <v>6173.4340000000002</v>
      </c>
      <c r="B49">
        <v>6173.6270000000004</v>
      </c>
      <c r="C49">
        <v>6173.86</v>
      </c>
      <c r="E49">
        <f t="shared" si="0"/>
        <v>0.193000000000211</v>
      </c>
      <c r="F49">
        <f t="shared" si="1"/>
        <v>0.42599999999947613</v>
      </c>
      <c r="G49">
        <v>0.40799999999999997</v>
      </c>
      <c r="H49">
        <f t="shared" si="2"/>
        <v>4.4965799998691391</v>
      </c>
      <c r="I49">
        <v>13.63</v>
      </c>
    </row>
    <row r="50" spans="1:9" x14ac:dyDescent="0.35">
      <c r="A50">
        <v>6180.7569999999996</v>
      </c>
      <c r="B50">
        <v>6180.95</v>
      </c>
      <c r="C50">
        <v>6181.19</v>
      </c>
      <c r="E50">
        <f t="shared" si="0"/>
        <v>0.193000000000211</v>
      </c>
      <c r="F50">
        <f t="shared" si="1"/>
        <v>0.43299999999999272</v>
      </c>
      <c r="G50">
        <v>0.40799999999999997</v>
      </c>
      <c r="H50">
        <f t="shared" si="2"/>
        <v>6.2452499999981894</v>
      </c>
      <c r="I50">
        <v>8.76</v>
      </c>
    </row>
    <row r="51" spans="1:9" x14ac:dyDescent="0.35">
      <c r="A51">
        <v>6187.1909999999998</v>
      </c>
      <c r="B51">
        <v>6187.384</v>
      </c>
      <c r="C51">
        <v>6187.6210000000001</v>
      </c>
      <c r="E51">
        <f t="shared" si="0"/>
        <v>0.193000000000211</v>
      </c>
      <c r="F51">
        <f t="shared" si="1"/>
        <v>0.43000000000029104</v>
      </c>
      <c r="G51">
        <v>0.40799999999999997</v>
      </c>
      <c r="H51">
        <f t="shared" si="2"/>
        <v>5.4958200000727109</v>
      </c>
      <c r="I51">
        <v>9.61</v>
      </c>
    </row>
    <row r="52" spans="1:9" x14ac:dyDescent="0.35">
      <c r="A52">
        <v>6193.5839999999998</v>
      </c>
      <c r="B52">
        <v>6193.777</v>
      </c>
      <c r="C52">
        <v>6194.0169999999998</v>
      </c>
      <c r="E52">
        <f t="shared" si="0"/>
        <v>0.193000000000211</v>
      </c>
      <c r="F52">
        <f t="shared" si="1"/>
        <v>0.43299999999999272</v>
      </c>
      <c r="G52">
        <v>0.40799999999999997</v>
      </c>
      <c r="H52">
        <f t="shared" si="2"/>
        <v>6.2452499999981894</v>
      </c>
      <c r="I52">
        <v>11.55</v>
      </c>
    </row>
    <row r="53" spans="1:9" x14ac:dyDescent="0.35">
      <c r="A53">
        <v>6200.009</v>
      </c>
      <c r="B53">
        <v>6200.2020000000002</v>
      </c>
      <c r="C53">
        <v>6200.442</v>
      </c>
      <c r="E53">
        <f t="shared" si="0"/>
        <v>0.193000000000211</v>
      </c>
      <c r="F53">
        <f t="shared" si="1"/>
        <v>0.43299999999999272</v>
      </c>
      <c r="G53">
        <v>0.40799999999999997</v>
      </c>
      <c r="H53">
        <f t="shared" si="2"/>
        <v>6.2452499999981894</v>
      </c>
      <c r="I53">
        <v>11.93</v>
      </c>
    </row>
    <row r="54" spans="1:9" x14ac:dyDescent="0.35">
      <c r="A54">
        <v>6206.384</v>
      </c>
      <c r="B54">
        <v>6206.5770000000002</v>
      </c>
      <c r="C54">
        <v>6206.817</v>
      </c>
      <c r="E54">
        <f t="shared" si="0"/>
        <v>0.193000000000211</v>
      </c>
      <c r="F54">
        <f t="shared" si="1"/>
        <v>0.43299999999999272</v>
      </c>
      <c r="G54">
        <v>0.40799999999999997</v>
      </c>
      <c r="H54">
        <f t="shared" si="2"/>
        <v>6.2452499999981894</v>
      </c>
      <c r="I54">
        <v>15.79</v>
      </c>
    </row>
    <row r="55" spans="1:9" x14ac:dyDescent="0.35">
      <c r="A55">
        <v>6213.777</v>
      </c>
      <c r="B55">
        <v>6213.97</v>
      </c>
      <c r="C55">
        <v>6214.2030000000004</v>
      </c>
      <c r="E55">
        <f t="shared" si="0"/>
        <v>0.193000000000211</v>
      </c>
      <c r="F55">
        <f t="shared" si="1"/>
        <v>0.42600000000038563</v>
      </c>
      <c r="G55">
        <v>0.40799999999999997</v>
      </c>
      <c r="H55">
        <f t="shared" si="2"/>
        <v>4.4965800000963396</v>
      </c>
      <c r="I55">
        <v>9.74</v>
      </c>
    </row>
    <row r="56" spans="1:9" x14ac:dyDescent="0.35">
      <c r="A56">
        <v>6220.1710000000003</v>
      </c>
      <c r="B56">
        <v>6220.3639999999996</v>
      </c>
      <c r="C56">
        <v>6220.6040000000003</v>
      </c>
      <c r="E56">
        <f t="shared" si="0"/>
        <v>0.19299999999930151</v>
      </c>
      <c r="F56">
        <f t="shared" si="1"/>
        <v>0.43299999999999272</v>
      </c>
      <c r="G56">
        <v>0.40799999999999997</v>
      </c>
      <c r="H56">
        <f t="shared" si="2"/>
        <v>6.2452499999981894</v>
      </c>
      <c r="I56">
        <v>8.08</v>
      </c>
    </row>
    <row r="57" spans="1:9" x14ac:dyDescent="0.35">
      <c r="A57">
        <v>6226.6049999999996</v>
      </c>
      <c r="B57">
        <v>6226.7979999999998</v>
      </c>
      <c r="C57">
        <v>6227.0379999999996</v>
      </c>
      <c r="E57">
        <f t="shared" si="0"/>
        <v>0.193000000000211</v>
      </c>
      <c r="F57">
        <f t="shared" si="1"/>
        <v>0.43299999999999272</v>
      </c>
      <c r="G57">
        <v>0.40799999999999997</v>
      </c>
      <c r="H57">
        <f t="shared" si="2"/>
        <v>6.2452499999981894</v>
      </c>
      <c r="I57">
        <v>10.32</v>
      </c>
    </row>
    <row r="58" spans="1:9" x14ac:dyDescent="0.35">
      <c r="A58">
        <v>6233</v>
      </c>
      <c r="B58">
        <v>6233.1930000000002</v>
      </c>
      <c r="C58">
        <v>6233.433</v>
      </c>
      <c r="E58">
        <f t="shared" si="0"/>
        <v>0.193000000000211</v>
      </c>
      <c r="F58">
        <f t="shared" si="1"/>
        <v>0.43299999999999272</v>
      </c>
      <c r="G58">
        <v>0.40799999999999997</v>
      </c>
      <c r="H58">
        <f t="shared" si="2"/>
        <v>6.2452499999981894</v>
      </c>
      <c r="I58">
        <v>9.69</v>
      </c>
    </row>
    <row r="59" spans="1:9" x14ac:dyDescent="0.35">
      <c r="A59">
        <v>6240.2250000000004</v>
      </c>
      <c r="B59">
        <v>6240.4179999999997</v>
      </c>
      <c r="C59">
        <v>6240.6580000000004</v>
      </c>
      <c r="E59">
        <f t="shared" si="0"/>
        <v>0.19299999999930151</v>
      </c>
      <c r="F59">
        <f t="shared" si="1"/>
        <v>0.43299999999999272</v>
      </c>
      <c r="G59">
        <v>0.40799999999999997</v>
      </c>
      <c r="H59">
        <f t="shared" si="2"/>
        <v>6.2452499999981894</v>
      </c>
      <c r="I59">
        <v>11.56</v>
      </c>
    </row>
    <row r="60" spans="1:9" x14ac:dyDescent="0.35">
      <c r="A60">
        <v>6247.6679999999997</v>
      </c>
      <c r="B60">
        <v>6247.8609999999999</v>
      </c>
      <c r="C60">
        <v>6248.0940000000001</v>
      </c>
      <c r="E60">
        <f t="shared" si="0"/>
        <v>0.193000000000211</v>
      </c>
      <c r="F60">
        <f t="shared" si="1"/>
        <v>0.42600000000038563</v>
      </c>
      <c r="G60">
        <v>0.40799999999999997</v>
      </c>
      <c r="H60">
        <f t="shared" si="2"/>
        <v>4.4965800000963396</v>
      </c>
      <c r="I60">
        <v>11.13</v>
      </c>
    </row>
    <row r="61" spans="1:9" x14ac:dyDescent="0.35">
      <c r="A61">
        <v>6254.0519999999997</v>
      </c>
      <c r="B61">
        <v>6254.2449999999999</v>
      </c>
      <c r="C61">
        <v>6254.5039999999999</v>
      </c>
      <c r="E61">
        <f t="shared" si="0"/>
        <v>0.193000000000211</v>
      </c>
      <c r="F61">
        <f t="shared" si="1"/>
        <v>0.45200000000022555</v>
      </c>
      <c r="G61">
        <v>0.40799999999999997</v>
      </c>
      <c r="H61">
        <f t="shared" si="2"/>
        <v>10.991640000056352</v>
      </c>
      <c r="I61">
        <v>10.92</v>
      </c>
    </row>
    <row r="62" spans="1:9" x14ac:dyDescent="0.35">
      <c r="A62">
        <v>6260.4750000000004</v>
      </c>
      <c r="B62">
        <v>6260.6679999999997</v>
      </c>
      <c r="C62">
        <v>6260.9080000000004</v>
      </c>
      <c r="E62">
        <f t="shared" si="0"/>
        <v>0.19299999999930151</v>
      </c>
      <c r="F62">
        <f t="shared" si="1"/>
        <v>0.43299999999999272</v>
      </c>
      <c r="G62">
        <v>0.40799999999999997</v>
      </c>
      <c r="H62">
        <f t="shared" si="2"/>
        <v>6.2452499999981894</v>
      </c>
      <c r="I62">
        <v>15.57</v>
      </c>
    </row>
    <row r="63" spans="1:9" x14ac:dyDescent="0.35">
      <c r="A63">
        <v>6266.8590000000004</v>
      </c>
      <c r="B63">
        <v>6267.0550000000003</v>
      </c>
      <c r="C63">
        <v>6267.2920000000004</v>
      </c>
      <c r="E63">
        <f t="shared" si="0"/>
        <v>0.19599999999991269</v>
      </c>
      <c r="F63">
        <f t="shared" si="1"/>
        <v>0.43299999999999272</v>
      </c>
      <c r="G63">
        <v>0.40799999999999997</v>
      </c>
      <c r="H63">
        <f t="shared" si="2"/>
        <v>6.2452499999981894</v>
      </c>
      <c r="I63">
        <v>11.25</v>
      </c>
    </row>
    <row r="64" spans="1:9" x14ac:dyDescent="0.35">
      <c r="A64">
        <v>6273.2839999999997</v>
      </c>
      <c r="B64">
        <v>6273.4769999999999</v>
      </c>
      <c r="C64">
        <v>6273.7169999999996</v>
      </c>
      <c r="E64">
        <f t="shared" si="0"/>
        <v>0.193000000000211</v>
      </c>
      <c r="F64">
        <f t="shared" si="1"/>
        <v>0.43299999999999272</v>
      </c>
      <c r="G64">
        <v>0.40799999999999997</v>
      </c>
      <c r="H64">
        <f t="shared" si="2"/>
        <v>6.2452499999981894</v>
      </c>
      <c r="I64">
        <v>9.69</v>
      </c>
    </row>
    <row r="65" spans="1:9" x14ac:dyDescent="0.35">
      <c r="A65">
        <v>6280.6369999999997</v>
      </c>
      <c r="B65">
        <v>6280.83</v>
      </c>
      <c r="C65">
        <v>6281.07</v>
      </c>
      <c r="E65">
        <f t="shared" si="0"/>
        <v>0.193000000000211</v>
      </c>
      <c r="F65">
        <f t="shared" si="1"/>
        <v>0.43299999999999272</v>
      </c>
      <c r="G65">
        <v>0.40799999999999997</v>
      </c>
      <c r="H65">
        <f t="shared" si="2"/>
        <v>6.2452499999981894</v>
      </c>
      <c r="I65">
        <v>10.16</v>
      </c>
    </row>
    <row r="66" spans="1:9" x14ac:dyDescent="0.35">
      <c r="A66">
        <v>6287.0709999999999</v>
      </c>
      <c r="B66">
        <v>6287.2640000000001</v>
      </c>
      <c r="C66">
        <v>6287.5230000000001</v>
      </c>
      <c r="E66">
        <f t="shared" si="0"/>
        <v>0.193000000000211</v>
      </c>
      <c r="F66">
        <f t="shared" si="1"/>
        <v>0.45200000000022555</v>
      </c>
      <c r="G66">
        <v>0.40799999999999997</v>
      </c>
      <c r="H66">
        <f t="shared" si="2"/>
        <v>10.991640000056352</v>
      </c>
      <c r="I66">
        <v>10.199999999999999</v>
      </c>
    </row>
    <row r="67" spans="1:9" x14ac:dyDescent="0.35">
      <c r="A67">
        <v>6293.4539999999997</v>
      </c>
      <c r="B67">
        <v>6293.6469999999999</v>
      </c>
      <c r="C67">
        <v>6293.88</v>
      </c>
      <c r="E67">
        <f t="shared" ref="E67:E130" si="3">B67-A67</f>
        <v>0.193000000000211</v>
      </c>
      <c r="F67">
        <f t="shared" ref="F67:F130" si="4">C67-A67</f>
        <v>0.42600000000038563</v>
      </c>
      <c r="G67">
        <v>0.40799999999999997</v>
      </c>
      <c r="H67">
        <f t="shared" ref="H67:H130" si="5">(F67-G67)*249.81</f>
        <v>4.4965800000963396</v>
      </c>
      <c r="I67">
        <v>15.95</v>
      </c>
    </row>
    <row r="68" spans="1:9" x14ac:dyDescent="0.35">
      <c r="A68">
        <v>6299.8890000000001</v>
      </c>
      <c r="B68">
        <v>6300.0820000000003</v>
      </c>
      <c r="C68">
        <v>6300.3220000000001</v>
      </c>
      <c r="E68">
        <f t="shared" si="3"/>
        <v>0.193000000000211</v>
      </c>
      <c r="F68">
        <f t="shared" si="4"/>
        <v>0.43299999999999272</v>
      </c>
      <c r="G68">
        <v>0.40799999999999997</v>
      </c>
      <c r="H68">
        <f t="shared" si="5"/>
        <v>6.2452499999981894</v>
      </c>
      <c r="I68">
        <v>7.02</v>
      </c>
    </row>
    <row r="69" spans="1:9" x14ac:dyDescent="0.35">
      <c r="A69">
        <v>6306.2830000000004</v>
      </c>
      <c r="B69">
        <v>6306.4759999999997</v>
      </c>
      <c r="C69">
        <v>6306.7089999999998</v>
      </c>
      <c r="E69">
        <f t="shared" si="3"/>
        <v>0.19299999999930151</v>
      </c>
      <c r="F69">
        <f t="shared" si="4"/>
        <v>0.42599999999947613</v>
      </c>
      <c r="G69">
        <v>0.40799999999999997</v>
      </c>
      <c r="H69">
        <f t="shared" si="5"/>
        <v>4.4965799998691391</v>
      </c>
      <c r="I69">
        <v>11.56</v>
      </c>
    </row>
    <row r="70" spans="1:9" x14ac:dyDescent="0.35">
      <c r="A70">
        <v>6313.6670000000004</v>
      </c>
      <c r="B70">
        <v>6313.86</v>
      </c>
      <c r="C70">
        <v>6314.1</v>
      </c>
      <c r="E70">
        <f t="shared" si="3"/>
        <v>0.19299999999930151</v>
      </c>
      <c r="F70">
        <f t="shared" si="4"/>
        <v>0.43299999999999272</v>
      </c>
      <c r="G70">
        <v>0.40799999999999997</v>
      </c>
      <c r="H70">
        <f t="shared" si="5"/>
        <v>6.2452499999981894</v>
      </c>
      <c r="I70">
        <v>8.8000000000000007</v>
      </c>
    </row>
    <row r="71" spans="1:9" x14ac:dyDescent="0.35">
      <c r="A71">
        <v>6320.04</v>
      </c>
      <c r="B71">
        <v>6320.2330000000002</v>
      </c>
      <c r="C71">
        <v>6320.47</v>
      </c>
      <c r="E71">
        <f t="shared" si="3"/>
        <v>0.193000000000211</v>
      </c>
      <c r="F71">
        <f t="shared" si="4"/>
        <v>0.43000000000029104</v>
      </c>
      <c r="G71">
        <v>0.40799999999999997</v>
      </c>
      <c r="H71">
        <f t="shared" si="5"/>
        <v>5.4958200000727109</v>
      </c>
      <c r="I71">
        <v>10.75</v>
      </c>
    </row>
    <row r="72" spans="1:9" x14ac:dyDescent="0.35">
      <c r="A72">
        <v>6326.4740000000002</v>
      </c>
      <c r="B72">
        <v>6326.67</v>
      </c>
      <c r="C72">
        <v>6326.9070000000002</v>
      </c>
      <c r="E72">
        <f t="shared" si="3"/>
        <v>0.19599999999991269</v>
      </c>
      <c r="F72">
        <f t="shared" si="4"/>
        <v>0.43299999999999272</v>
      </c>
      <c r="G72">
        <v>0.40799999999999997</v>
      </c>
      <c r="H72">
        <f t="shared" si="5"/>
        <v>6.2452499999981894</v>
      </c>
      <c r="I72">
        <v>9.9</v>
      </c>
    </row>
    <row r="73" spans="1:9" x14ac:dyDescent="0.35">
      <c r="A73">
        <v>6332.8590000000004</v>
      </c>
      <c r="B73">
        <v>6333.0519999999997</v>
      </c>
      <c r="C73">
        <v>6333.2889999999998</v>
      </c>
      <c r="E73">
        <f t="shared" si="3"/>
        <v>0.19299999999930151</v>
      </c>
      <c r="F73">
        <f t="shared" si="4"/>
        <v>0.42999999999938154</v>
      </c>
      <c r="G73">
        <v>0.40799999999999997</v>
      </c>
      <c r="H73">
        <f t="shared" si="5"/>
        <v>5.4958199998455104</v>
      </c>
      <c r="I73">
        <v>9.9</v>
      </c>
    </row>
    <row r="74" spans="1:9" x14ac:dyDescent="0.35">
      <c r="A74">
        <v>6339.2330000000002</v>
      </c>
      <c r="B74">
        <v>6339.4260000000004</v>
      </c>
      <c r="C74">
        <v>6339.6660000000002</v>
      </c>
      <c r="E74">
        <f t="shared" si="3"/>
        <v>0.193000000000211</v>
      </c>
      <c r="F74">
        <f t="shared" si="4"/>
        <v>0.43299999999999272</v>
      </c>
      <c r="G74">
        <v>0.40799999999999997</v>
      </c>
      <c r="H74">
        <f t="shared" si="5"/>
        <v>6.2452499999981894</v>
      </c>
      <c r="I74">
        <v>10.84</v>
      </c>
    </row>
    <row r="75" spans="1:9" x14ac:dyDescent="0.35">
      <c r="A75">
        <v>6346.616</v>
      </c>
      <c r="B75">
        <v>6346.8119999999999</v>
      </c>
      <c r="C75">
        <v>6347.0420000000004</v>
      </c>
      <c r="E75">
        <f t="shared" si="3"/>
        <v>0.19599999999991269</v>
      </c>
      <c r="F75">
        <f t="shared" si="4"/>
        <v>0.42600000000038563</v>
      </c>
      <c r="G75">
        <v>0.40799999999999997</v>
      </c>
      <c r="H75">
        <f t="shared" si="5"/>
        <v>4.4965800000963396</v>
      </c>
      <c r="I75">
        <v>11.43</v>
      </c>
    </row>
    <row r="76" spans="1:9" x14ac:dyDescent="0.35">
      <c r="A76">
        <v>6354.402</v>
      </c>
      <c r="B76">
        <v>6354.5950000000003</v>
      </c>
      <c r="C76">
        <v>6354.835</v>
      </c>
      <c r="E76">
        <f t="shared" si="3"/>
        <v>0.193000000000211</v>
      </c>
      <c r="F76">
        <f t="shared" si="4"/>
        <v>0.43299999999999272</v>
      </c>
      <c r="G76">
        <v>0.40799999999999997</v>
      </c>
      <c r="H76">
        <f t="shared" si="5"/>
        <v>6.2452499999981894</v>
      </c>
      <c r="I76">
        <v>11.01</v>
      </c>
    </row>
    <row r="77" spans="1:9" x14ac:dyDescent="0.35">
      <c r="A77">
        <v>6360.8159999999998</v>
      </c>
      <c r="B77">
        <v>6361.009</v>
      </c>
      <c r="C77">
        <v>6361.2489999999998</v>
      </c>
      <c r="E77">
        <f t="shared" si="3"/>
        <v>0.193000000000211</v>
      </c>
      <c r="F77">
        <f t="shared" si="4"/>
        <v>0.43299999999999272</v>
      </c>
      <c r="G77">
        <v>0.40799999999999997</v>
      </c>
      <c r="H77">
        <f t="shared" si="5"/>
        <v>6.2452499999981894</v>
      </c>
      <c r="I77">
        <v>11.59</v>
      </c>
    </row>
    <row r="78" spans="1:9" x14ac:dyDescent="0.35">
      <c r="A78">
        <v>6367.2110000000002</v>
      </c>
      <c r="B78">
        <v>6367.4070000000002</v>
      </c>
      <c r="C78">
        <v>6367.6440000000002</v>
      </c>
      <c r="E78">
        <f t="shared" si="3"/>
        <v>0.19599999999991269</v>
      </c>
      <c r="F78">
        <f t="shared" si="4"/>
        <v>0.43299999999999272</v>
      </c>
      <c r="G78">
        <v>0.40799999999999997</v>
      </c>
      <c r="H78">
        <f t="shared" si="5"/>
        <v>6.2452499999981894</v>
      </c>
      <c r="I78">
        <v>10.07</v>
      </c>
    </row>
    <row r="79" spans="1:9" x14ac:dyDescent="0.35">
      <c r="A79">
        <v>6373.6459999999997</v>
      </c>
      <c r="B79">
        <v>6373.8389999999999</v>
      </c>
      <c r="C79">
        <v>6374.0720000000001</v>
      </c>
      <c r="E79">
        <f t="shared" si="3"/>
        <v>0.193000000000211</v>
      </c>
      <c r="F79">
        <f t="shared" si="4"/>
        <v>0.42600000000038563</v>
      </c>
      <c r="G79">
        <v>0.40799999999999997</v>
      </c>
      <c r="H79">
        <f t="shared" si="5"/>
        <v>4.4965800000963396</v>
      </c>
      <c r="I79">
        <v>10.96</v>
      </c>
    </row>
    <row r="80" spans="1:9" x14ac:dyDescent="0.35">
      <c r="A80">
        <v>6380.9690000000001</v>
      </c>
      <c r="B80">
        <v>6381.165</v>
      </c>
      <c r="C80">
        <v>6381.3950000000004</v>
      </c>
      <c r="E80">
        <f t="shared" si="3"/>
        <v>0.19599999999991269</v>
      </c>
      <c r="F80">
        <f t="shared" si="4"/>
        <v>0.42600000000038563</v>
      </c>
      <c r="G80">
        <v>0.40799999999999997</v>
      </c>
      <c r="H80">
        <f t="shared" si="5"/>
        <v>4.4965800000963396</v>
      </c>
      <c r="I80">
        <v>8.89</v>
      </c>
    </row>
    <row r="81" spans="1:9" x14ac:dyDescent="0.35">
      <c r="A81">
        <v>6387.3530000000001</v>
      </c>
      <c r="B81">
        <v>6387.5460000000003</v>
      </c>
      <c r="C81">
        <v>6387.7790000000005</v>
      </c>
      <c r="E81">
        <f t="shared" si="3"/>
        <v>0.193000000000211</v>
      </c>
      <c r="F81">
        <f t="shared" si="4"/>
        <v>0.42600000000038563</v>
      </c>
      <c r="G81">
        <v>0.40799999999999997</v>
      </c>
      <c r="H81">
        <f t="shared" si="5"/>
        <v>4.4965800000963396</v>
      </c>
      <c r="I81">
        <v>7.45</v>
      </c>
    </row>
    <row r="82" spans="1:9" x14ac:dyDescent="0.35">
      <c r="A82">
        <v>6393.7870000000003</v>
      </c>
      <c r="B82">
        <v>6393.9830000000002</v>
      </c>
      <c r="C82">
        <v>6394.22</v>
      </c>
      <c r="E82">
        <f t="shared" si="3"/>
        <v>0.19599999999991269</v>
      </c>
      <c r="F82">
        <f t="shared" si="4"/>
        <v>0.43299999999999272</v>
      </c>
      <c r="G82">
        <v>0.40799999999999997</v>
      </c>
      <c r="H82">
        <f t="shared" si="5"/>
        <v>6.2452499999981894</v>
      </c>
      <c r="I82">
        <v>7.06</v>
      </c>
    </row>
    <row r="83" spans="1:9" x14ac:dyDescent="0.35">
      <c r="A83">
        <v>6400.1719999999996</v>
      </c>
      <c r="B83">
        <v>6400.3649999999998</v>
      </c>
      <c r="C83">
        <v>6400.6049999999996</v>
      </c>
      <c r="E83">
        <f t="shared" si="3"/>
        <v>0.193000000000211</v>
      </c>
      <c r="F83">
        <f t="shared" si="4"/>
        <v>0.43299999999999272</v>
      </c>
      <c r="G83">
        <v>0.40799999999999997</v>
      </c>
      <c r="H83">
        <f t="shared" si="5"/>
        <v>6.2452499999981894</v>
      </c>
      <c r="I83">
        <v>11.25</v>
      </c>
    </row>
    <row r="84" spans="1:9" x14ac:dyDescent="0.35">
      <c r="A84">
        <v>6406.607</v>
      </c>
      <c r="B84">
        <v>6406.8029999999999</v>
      </c>
      <c r="C84">
        <v>6407.04</v>
      </c>
      <c r="E84">
        <f t="shared" si="3"/>
        <v>0.19599999999991269</v>
      </c>
      <c r="F84">
        <f t="shared" si="4"/>
        <v>0.43299999999999272</v>
      </c>
      <c r="G84">
        <v>0.40799999999999997</v>
      </c>
      <c r="H84">
        <f t="shared" si="5"/>
        <v>6.2452499999981894</v>
      </c>
      <c r="I84">
        <v>11.05</v>
      </c>
    </row>
    <row r="85" spans="1:9" x14ac:dyDescent="0.35">
      <c r="A85">
        <v>7401.0550000000003</v>
      </c>
      <c r="B85">
        <v>7401.2479999999996</v>
      </c>
      <c r="C85">
        <v>7401.4849999999997</v>
      </c>
      <c r="E85">
        <f t="shared" si="3"/>
        <v>0.19299999999930151</v>
      </c>
      <c r="F85">
        <f t="shared" si="4"/>
        <v>0.42999999999938154</v>
      </c>
      <c r="G85">
        <v>0.40799999999999997</v>
      </c>
      <c r="H85">
        <f t="shared" si="5"/>
        <v>5.4958199998455104</v>
      </c>
      <c r="I85">
        <v>11.43</v>
      </c>
    </row>
    <row r="86" spans="1:9" x14ac:dyDescent="0.35">
      <c r="A86">
        <v>7407.47</v>
      </c>
      <c r="B86">
        <v>7407.6660000000002</v>
      </c>
      <c r="C86">
        <v>7407.8959999999997</v>
      </c>
      <c r="E86">
        <f t="shared" si="3"/>
        <v>0.19599999999991269</v>
      </c>
      <c r="F86">
        <f t="shared" si="4"/>
        <v>0.42599999999947613</v>
      </c>
      <c r="G86">
        <v>0.40799999999999997</v>
      </c>
      <c r="H86">
        <f t="shared" si="5"/>
        <v>4.4965799998691391</v>
      </c>
      <c r="I86">
        <v>11.17</v>
      </c>
    </row>
    <row r="87" spans="1:9" x14ac:dyDescent="0.35">
      <c r="A87">
        <v>7414.8029999999999</v>
      </c>
      <c r="B87">
        <v>7414.9960000000001</v>
      </c>
      <c r="C87">
        <v>7415.2290000000003</v>
      </c>
      <c r="E87">
        <f t="shared" si="3"/>
        <v>0.193000000000211</v>
      </c>
      <c r="F87">
        <f t="shared" si="4"/>
        <v>0.42600000000038563</v>
      </c>
      <c r="G87">
        <v>0.40799999999999997</v>
      </c>
      <c r="H87">
        <f t="shared" si="5"/>
        <v>4.4965800000963396</v>
      </c>
      <c r="I87">
        <v>8.89</v>
      </c>
    </row>
    <row r="88" spans="1:9" x14ac:dyDescent="0.35">
      <c r="A88">
        <v>7421.1970000000001</v>
      </c>
      <c r="B88">
        <v>7421.39</v>
      </c>
      <c r="C88">
        <v>7421.63</v>
      </c>
      <c r="E88">
        <f t="shared" si="3"/>
        <v>0.193000000000211</v>
      </c>
      <c r="F88">
        <f t="shared" si="4"/>
        <v>0.43299999999999272</v>
      </c>
      <c r="G88">
        <v>0.40799999999999997</v>
      </c>
      <c r="H88">
        <f t="shared" si="5"/>
        <v>6.2452499999981894</v>
      </c>
      <c r="I88">
        <v>7.24</v>
      </c>
    </row>
    <row r="89" spans="1:9" x14ac:dyDescent="0.35">
      <c r="A89">
        <v>7427.6210000000001</v>
      </c>
      <c r="B89">
        <v>7427.8140000000003</v>
      </c>
      <c r="C89">
        <v>7428.0540000000001</v>
      </c>
      <c r="E89">
        <f t="shared" si="3"/>
        <v>0.193000000000211</v>
      </c>
      <c r="F89">
        <f t="shared" si="4"/>
        <v>0.43299999999999272</v>
      </c>
      <c r="G89">
        <v>0.40799999999999997</v>
      </c>
      <c r="H89">
        <f t="shared" si="5"/>
        <v>6.2452499999981894</v>
      </c>
      <c r="I89">
        <v>10.66</v>
      </c>
    </row>
    <row r="90" spans="1:9" x14ac:dyDescent="0.35">
      <c r="A90">
        <v>7434.0150000000003</v>
      </c>
      <c r="B90">
        <v>7434.2079999999996</v>
      </c>
      <c r="C90">
        <v>7434.4480000000003</v>
      </c>
      <c r="E90">
        <f t="shared" si="3"/>
        <v>0.19299999999930151</v>
      </c>
      <c r="F90">
        <f t="shared" si="4"/>
        <v>0.43299999999999272</v>
      </c>
      <c r="G90">
        <v>0.40799999999999997</v>
      </c>
      <c r="H90">
        <f t="shared" si="5"/>
        <v>6.2452499999981894</v>
      </c>
      <c r="I90">
        <v>9.98</v>
      </c>
    </row>
    <row r="91" spans="1:9" x14ac:dyDescent="0.35">
      <c r="A91">
        <v>7440.44</v>
      </c>
      <c r="B91">
        <v>7440.6329999999998</v>
      </c>
      <c r="C91">
        <v>7440.866</v>
      </c>
      <c r="E91">
        <f t="shared" si="3"/>
        <v>0.193000000000211</v>
      </c>
      <c r="F91">
        <f t="shared" si="4"/>
        <v>0.42600000000038563</v>
      </c>
      <c r="G91">
        <v>0.40799999999999997</v>
      </c>
      <c r="H91">
        <f t="shared" si="5"/>
        <v>4.4965800000963396</v>
      </c>
      <c r="I91">
        <v>16.04</v>
      </c>
    </row>
    <row r="92" spans="1:9" x14ac:dyDescent="0.35">
      <c r="A92">
        <v>7447.7929999999997</v>
      </c>
      <c r="B92">
        <v>7447.9859999999999</v>
      </c>
      <c r="C92">
        <v>7448.2259999999997</v>
      </c>
      <c r="E92">
        <f t="shared" si="3"/>
        <v>0.193000000000211</v>
      </c>
      <c r="F92">
        <f t="shared" si="4"/>
        <v>0.43299999999999272</v>
      </c>
      <c r="G92">
        <v>0.40799999999999997</v>
      </c>
      <c r="H92">
        <f t="shared" si="5"/>
        <v>6.2452499999981894</v>
      </c>
      <c r="I92">
        <v>11.05</v>
      </c>
    </row>
    <row r="93" spans="1:9" x14ac:dyDescent="0.35">
      <c r="A93">
        <v>7454.2060000000001</v>
      </c>
      <c r="B93">
        <v>7454.3990000000003</v>
      </c>
      <c r="C93">
        <v>7454.6319999999996</v>
      </c>
      <c r="E93">
        <f t="shared" si="3"/>
        <v>0.193000000000211</v>
      </c>
      <c r="F93">
        <f t="shared" si="4"/>
        <v>0.42599999999947613</v>
      </c>
      <c r="G93">
        <v>0.40799999999999997</v>
      </c>
      <c r="H93">
        <f t="shared" si="5"/>
        <v>4.4965799998691391</v>
      </c>
      <c r="I93">
        <v>11.85</v>
      </c>
    </row>
    <row r="94" spans="1:9" x14ac:dyDescent="0.35">
      <c r="A94">
        <v>7460.5789999999997</v>
      </c>
      <c r="B94">
        <v>7460.7749999999996</v>
      </c>
      <c r="C94">
        <v>7461.0119999999997</v>
      </c>
      <c r="E94">
        <f t="shared" si="3"/>
        <v>0.19599999999991269</v>
      </c>
      <c r="F94">
        <f t="shared" si="4"/>
        <v>0.43299999999999272</v>
      </c>
      <c r="G94">
        <v>0.40799999999999997</v>
      </c>
      <c r="H94">
        <f t="shared" si="5"/>
        <v>6.2452499999981894</v>
      </c>
      <c r="I94">
        <v>6.51</v>
      </c>
    </row>
    <row r="95" spans="1:9" x14ac:dyDescent="0.35">
      <c r="A95">
        <v>7467.0029999999997</v>
      </c>
      <c r="B95">
        <v>7467.1959999999999</v>
      </c>
      <c r="C95">
        <v>7467.4359999999997</v>
      </c>
      <c r="E95">
        <f t="shared" si="3"/>
        <v>0.193000000000211</v>
      </c>
      <c r="F95">
        <f t="shared" si="4"/>
        <v>0.43299999999999272</v>
      </c>
      <c r="G95">
        <v>0.40799999999999997</v>
      </c>
      <c r="H95">
        <f t="shared" si="5"/>
        <v>6.2452499999981894</v>
      </c>
      <c r="I95">
        <v>10.28</v>
      </c>
    </row>
    <row r="96" spans="1:9" x14ac:dyDescent="0.35">
      <c r="A96">
        <v>7473.3779999999997</v>
      </c>
      <c r="B96">
        <v>7473.5709999999999</v>
      </c>
      <c r="C96">
        <v>7473.8109999999997</v>
      </c>
      <c r="E96">
        <f t="shared" si="3"/>
        <v>0.193000000000211</v>
      </c>
      <c r="F96">
        <f t="shared" si="4"/>
        <v>0.43299999999999272</v>
      </c>
      <c r="G96">
        <v>0.40799999999999997</v>
      </c>
      <c r="H96">
        <f t="shared" si="5"/>
        <v>6.2452499999981894</v>
      </c>
      <c r="I96">
        <v>11.81</v>
      </c>
    </row>
    <row r="97" spans="1:9" x14ac:dyDescent="0.35">
      <c r="A97">
        <v>7480.7110000000002</v>
      </c>
      <c r="B97">
        <v>7480.9070000000002</v>
      </c>
      <c r="C97">
        <v>7481.1369999999997</v>
      </c>
      <c r="E97">
        <f t="shared" si="3"/>
        <v>0.19599999999991269</v>
      </c>
      <c r="F97">
        <f t="shared" si="4"/>
        <v>0.42599999999947613</v>
      </c>
      <c r="G97">
        <v>0.40799999999999997</v>
      </c>
      <c r="H97">
        <f t="shared" si="5"/>
        <v>4.4965799998691391</v>
      </c>
      <c r="I97">
        <v>9.7799999999999994</v>
      </c>
    </row>
    <row r="98" spans="1:9" x14ac:dyDescent="0.35">
      <c r="A98">
        <v>7487.0950000000003</v>
      </c>
      <c r="B98">
        <v>7487.2910000000002</v>
      </c>
      <c r="C98">
        <v>7487.5209999999997</v>
      </c>
      <c r="E98">
        <f t="shared" si="3"/>
        <v>0.19599999999991269</v>
      </c>
      <c r="F98">
        <f t="shared" si="4"/>
        <v>0.42599999999947613</v>
      </c>
      <c r="G98">
        <v>0.40799999999999997</v>
      </c>
      <c r="H98">
        <f t="shared" si="5"/>
        <v>4.4965799998691391</v>
      </c>
      <c r="I98">
        <v>10.45</v>
      </c>
    </row>
    <row r="99" spans="1:9" x14ac:dyDescent="0.35">
      <c r="A99">
        <v>7493.4889999999996</v>
      </c>
      <c r="B99">
        <v>7493.6819999999998</v>
      </c>
      <c r="C99">
        <v>7493.915</v>
      </c>
      <c r="E99">
        <f t="shared" si="3"/>
        <v>0.193000000000211</v>
      </c>
      <c r="F99">
        <f t="shared" si="4"/>
        <v>0.42600000000038563</v>
      </c>
      <c r="G99">
        <v>0.40799999999999997</v>
      </c>
      <c r="H99">
        <f t="shared" si="5"/>
        <v>4.4965800000963396</v>
      </c>
      <c r="I99">
        <v>8.0399999999999991</v>
      </c>
    </row>
    <row r="100" spans="1:9" x14ac:dyDescent="0.35">
      <c r="A100">
        <v>7499.9040000000005</v>
      </c>
      <c r="B100">
        <v>7500.1</v>
      </c>
      <c r="C100">
        <v>7500.3370000000004</v>
      </c>
      <c r="E100">
        <f t="shared" si="3"/>
        <v>0.19599999999991269</v>
      </c>
      <c r="F100">
        <f t="shared" si="4"/>
        <v>0.43299999999999272</v>
      </c>
      <c r="G100">
        <v>0.40799999999999997</v>
      </c>
      <c r="H100">
        <f t="shared" si="5"/>
        <v>6.2452499999981894</v>
      </c>
      <c r="I100">
        <v>10.15</v>
      </c>
    </row>
    <row r="101" spans="1:9" x14ac:dyDescent="0.35">
      <c r="A101">
        <v>7506.2690000000002</v>
      </c>
      <c r="B101">
        <v>7506.4620000000004</v>
      </c>
      <c r="C101">
        <v>7506.7020000000002</v>
      </c>
      <c r="E101">
        <f t="shared" si="3"/>
        <v>0.193000000000211</v>
      </c>
      <c r="F101">
        <f t="shared" si="4"/>
        <v>0.43299999999999272</v>
      </c>
      <c r="G101">
        <v>0.40799999999999997</v>
      </c>
      <c r="H101">
        <f t="shared" si="5"/>
        <v>6.2452499999981894</v>
      </c>
      <c r="I101">
        <v>10.67</v>
      </c>
    </row>
    <row r="102" spans="1:9" x14ac:dyDescent="0.35">
      <c r="A102">
        <v>7513.6220000000003</v>
      </c>
      <c r="B102">
        <v>7513.8149999999996</v>
      </c>
      <c r="C102">
        <v>7514.0550000000003</v>
      </c>
      <c r="E102">
        <f t="shared" si="3"/>
        <v>0.19299999999930151</v>
      </c>
      <c r="F102">
        <f t="shared" si="4"/>
        <v>0.43299999999999272</v>
      </c>
      <c r="G102">
        <v>0.40799999999999997</v>
      </c>
      <c r="H102">
        <f t="shared" si="5"/>
        <v>6.2452499999981894</v>
      </c>
      <c r="I102">
        <v>9.82</v>
      </c>
    </row>
    <row r="103" spans="1:9" x14ac:dyDescent="0.35">
      <c r="A103">
        <v>7520.0050000000001</v>
      </c>
      <c r="B103">
        <v>7520.1980000000003</v>
      </c>
      <c r="C103">
        <v>7520.4309999999996</v>
      </c>
      <c r="E103">
        <f t="shared" si="3"/>
        <v>0.193000000000211</v>
      </c>
      <c r="F103">
        <f t="shared" si="4"/>
        <v>0.42599999999947613</v>
      </c>
      <c r="G103">
        <v>0.40799999999999997</v>
      </c>
      <c r="H103">
        <f t="shared" si="5"/>
        <v>4.4965799998691391</v>
      </c>
      <c r="I103">
        <v>10.71</v>
      </c>
    </row>
    <row r="104" spans="1:9" x14ac:dyDescent="0.35">
      <c r="A104">
        <v>7526.4390000000003</v>
      </c>
      <c r="B104">
        <v>7526.6319999999996</v>
      </c>
      <c r="C104">
        <v>7526.8689999999997</v>
      </c>
      <c r="E104">
        <f t="shared" si="3"/>
        <v>0.19299999999930151</v>
      </c>
      <c r="F104">
        <f t="shared" si="4"/>
        <v>0.42999999999938154</v>
      </c>
      <c r="G104">
        <v>0.40799999999999997</v>
      </c>
      <c r="H104">
        <f t="shared" si="5"/>
        <v>5.4958199998455104</v>
      </c>
      <c r="I104">
        <v>8.1999999999999993</v>
      </c>
    </row>
    <row r="105" spans="1:9" x14ac:dyDescent="0.35">
      <c r="A105">
        <v>7532.8239999999996</v>
      </c>
      <c r="B105">
        <v>7533.0169999999998</v>
      </c>
      <c r="C105">
        <v>7533.25</v>
      </c>
      <c r="E105">
        <f t="shared" si="3"/>
        <v>0.193000000000211</v>
      </c>
      <c r="F105">
        <f t="shared" si="4"/>
        <v>0.42600000000038563</v>
      </c>
      <c r="G105">
        <v>0.40799999999999997</v>
      </c>
      <c r="H105">
        <f t="shared" si="5"/>
        <v>4.4965800000963396</v>
      </c>
      <c r="I105">
        <v>10.87</v>
      </c>
    </row>
    <row r="106" spans="1:9" x14ac:dyDescent="0.35">
      <c r="A106">
        <v>7539.2489999999998</v>
      </c>
      <c r="B106">
        <v>7539.442</v>
      </c>
      <c r="C106">
        <v>7539.6819999999998</v>
      </c>
      <c r="E106">
        <f t="shared" si="3"/>
        <v>0.193000000000211</v>
      </c>
      <c r="F106">
        <f t="shared" si="4"/>
        <v>0.43299999999999272</v>
      </c>
      <c r="G106">
        <v>0.40799999999999997</v>
      </c>
      <c r="H106">
        <f t="shared" si="5"/>
        <v>6.2452499999981894</v>
      </c>
      <c r="I106">
        <v>9.61</v>
      </c>
    </row>
    <row r="107" spans="1:9" x14ac:dyDescent="0.35">
      <c r="A107">
        <v>7547.3819999999996</v>
      </c>
      <c r="B107">
        <v>7547.5749999999998</v>
      </c>
      <c r="C107">
        <v>7547.81</v>
      </c>
      <c r="E107">
        <f t="shared" si="3"/>
        <v>0.193000000000211</v>
      </c>
      <c r="F107">
        <f t="shared" si="4"/>
        <v>0.42800000000079308</v>
      </c>
      <c r="G107">
        <v>0.40799999999999997</v>
      </c>
      <c r="H107">
        <f t="shared" si="5"/>
        <v>4.9962000001981259</v>
      </c>
      <c r="I107">
        <v>10.71</v>
      </c>
    </row>
    <row r="108" spans="1:9" x14ac:dyDescent="0.35">
      <c r="A108">
        <v>7553.8950000000004</v>
      </c>
      <c r="B108">
        <v>7554.0910000000003</v>
      </c>
      <c r="C108">
        <v>7554.3209999999999</v>
      </c>
      <c r="E108">
        <f t="shared" si="3"/>
        <v>0.19599999999991269</v>
      </c>
      <c r="F108">
        <f t="shared" si="4"/>
        <v>0.42599999999947613</v>
      </c>
      <c r="G108">
        <v>0.40799999999999997</v>
      </c>
      <c r="H108">
        <f t="shared" si="5"/>
        <v>4.4965799998691391</v>
      </c>
      <c r="I108">
        <v>9.7799999999999994</v>
      </c>
    </row>
    <row r="109" spans="1:9" x14ac:dyDescent="0.35">
      <c r="A109">
        <v>7560.3490000000002</v>
      </c>
      <c r="B109">
        <v>7560.5510000000004</v>
      </c>
      <c r="C109">
        <v>7560.7749999999996</v>
      </c>
      <c r="E109">
        <f t="shared" si="3"/>
        <v>0.20200000000022555</v>
      </c>
      <c r="F109">
        <f t="shared" si="4"/>
        <v>0.42599999999947613</v>
      </c>
      <c r="G109">
        <v>0.40799999999999997</v>
      </c>
      <c r="H109">
        <f t="shared" si="5"/>
        <v>4.4965799998691391</v>
      </c>
      <c r="I109">
        <v>7.23</v>
      </c>
    </row>
    <row r="110" spans="1:9" x14ac:dyDescent="0.35">
      <c r="A110">
        <v>7566.7340000000004</v>
      </c>
      <c r="B110">
        <v>7566.93</v>
      </c>
      <c r="C110">
        <v>7567.16</v>
      </c>
      <c r="E110">
        <f t="shared" si="3"/>
        <v>0.19599999999991269</v>
      </c>
      <c r="F110">
        <f t="shared" si="4"/>
        <v>0.42599999999947613</v>
      </c>
      <c r="G110">
        <v>0.40799999999999997</v>
      </c>
      <c r="H110">
        <f t="shared" si="5"/>
        <v>4.4965799998691391</v>
      </c>
      <c r="I110">
        <v>8.5</v>
      </c>
    </row>
    <row r="111" spans="1:9" x14ac:dyDescent="0.35">
      <c r="A111">
        <v>7573.1480000000001</v>
      </c>
      <c r="B111">
        <v>7573.3440000000001</v>
      </c>
      <c r="C111">
        <v>7573.5739999999996</v>
      </c>
      <c r="E111">
        <f t="shared" si="3"/>
        <v>0.19599999999991269</v>
      </c>
      <c r="F111">
        <f t="shared" si="4"/>
        <v>0.42599999999947613</v>
      </c>
      <c r="G111">
        <v>0.40799999999999997</v>
      </c>
      <c r="H111">
        <f t="shared" si="5"/>
        <v>4.4965799998691391</v>
      </c>
      <c r="I111">
        <v>11.17</v>
      </c>
    </row>
    <row r="112" spans="1:9" x14ac:dyDescent="0.35">
      <c r="A112">
        <v>7580.5010000000002</v>
      </c>
      <c r="B112">
        <v>7580.6940000000004</v>
      </c>
      <c r="C112">
        <v>7580.9340000000002</v>
      </c>
      <c r="E112">
        <f t="shared" si="3"/>
        <v>0.193000000000211</v>
      </c>
      <c r="F112">
        <f t="shared" si="4"/>
        <v>0.43299999999999272</v>
      </c>
      <c r="G112">
        <v>0.40799999999999997</v>
      </c>
      <c r="H112">
        <f t="shared" si="5"/>
        <v>6.2452499999981894</v>
      </c>
      <c r="I112">
        <v>7.24</v>
      </c>
    </row>
    <row r="113" spans="1:9" x14ac:dyDescent="0.35">
      <c r="A113">
        <v>7586.884</v>
      </c>
      <c r="B113">
        <v>7587.0770000000002</v>
      </c>
      <c r="C113">
        <v>7587.317</v>
      </c>
      <c r="E113">
        <f t="shared" si="3"/>
        <v>0.193000000000211</v>
      </c>
      <c r="F113">
        <f t="shared" si="4"/>
        <v>0.43299999999999272</v>
      </c>
      <c r="G113">
        <v>0.40799999999999997</v>
      </c>
      <c r="H113">
        <f t="shared" si="5"/>
        <v>6.2452499999981894</v>
      </c>
      <c r="I113">
        <v>10.45</v>
      </c>
    </row>
    <row r="114" spans="1:9" x14ac:dyDescent="0.35">
      <c r="A114">
        <v>7593.308</v>
      </c>
      <c r="B114">
        <v>7593.5010000000002</v>
      </c>
      <c r="C114">
        <v>7593.7340000000004</v>
      </c>
      <c r="E114">
        <f t="shared" si="3"/>
        <v>0.193000000000211</v>
      </c>
      <c r="F114">
        <f t="shared" si="4"/>
        <v>0.42600000000038563</v>
      </c>
      <c r="G114">
        <v>0.40799999999999997</v>
      </c>
      <c r="H114">
        <f t="shared" si="5"/>
        <v>4.4965800000963396</v>
      </c>
      <c r="I114">
        <v>10.91</v>
      </c>
    </row>
    <row r="115" spans="1:9" x14ac:dyDescent="0.35">
      <c r="A115">
        <v>7599.6930000000002</v>
      </c>
      <c r="B115">
        <v>7599.8890000000001</v>
      </c>
      <c r="C115">
        <v>7600.1189999999997</v>
      </c>
      <c r="E115">
        <f t="shared" si="3"/>
        <v>0.19599999999991269</v>
      </c>
      <c r="F115">
        <f t="shared" si="4"/>
        <v>0.42599999999947613</v>
      </c>
      <c r="G115">
        <v>0.40799999999999997</v>
      </c>
      <c r="H115">
        <f t="shared" si="5"/>
        <v>4.4965799998691391</v>
      </c>
      <c r="I115">
        <v>7.4</v>
      </c>
    </row>
    <row r="116" spans="1:9" x14ac:dyDescent="0.35">
      <c r="A116">
        <v>7606.1279999999997</v>
      </c>
      <c r="B116">
        <v>7606.3209999999999</v>
      </c>
      <c r="C116">
        <v>7606.58</v>
      </c>
      <c r="E116">
        <f t="shared" si="3"/>
        <v>0.193000000000211</v>
      </c>
      <c r="F116">
        <f t="shared" si="4"/>
        <v>0.45200000000022555</v>
      </c>
      <c r="G116">
        <v>0.40799999999999997</v>
      </c>
      <c r="H116">
        <f t="shared" si="5"/>
        <v>10.991640000056352</v>
      </c>
      <c r="I116">
        <v>9.44</v>
      </c>
    </row>
    <row r="117" spans="1:9" x14ac:dyDescent="0.35">
      <c r="A117">
        <v>7613.4709999999995</v>
      </c>
      <c r="B117">
        <v>7613.6639999999998</v>
      </c>
      <c r="C117">
        <v>7613.9040000000005</v>
      </c>
      <c r="E117">
        <f t="shared" si="3"/>
        <v>0.193000000000211</v>
      </c>
      <c r="F117">
        <f t="shared" si="4"/>
        <v>0.43300000000090222</v>
      </c>
      <c r="G117">
        <v>0.40799999999999997</v>
      </c>
      <c r="H117">
        <f t="shared" si="5"/>
        <v>6.2452500002253899</v>
      </c>
      <c r="I117">
        <v>14.31</v>
      </c>
    </row>
    <row r="118" spans="1:9" x14ac:dyDescent="0.35">
      <c r="A118">
        <v>7619.8649999999998</v>
      </c>
      <c r="B118">
        <v>7620.058</v>
      </c>
      <c r="C118">
        <v>7620.2910000000002</v>
      </c>
      <c r="E118">
        <f t="shared" si="3"/>
        <v>0.193000000000211</v>
      </c>
      <c r="F118">
        <f t="shared" si="4"/>
        <v>0.42600000000038563</v>
      </c>
      <c r="G118">
        <v>0.40799999999999997</v>
      </c>
      <c r="H118">
        <f t="shared" si="5"/>
        <v>4.4965800000963396</v>
      </c>
      <c r="I118">
        <v>11.64</v>
      </c>
    </row>
    <row r="119" spans="1:9" x14ac:dyDescent="0.35">
      <c r="A119">
        <v>7626.2879999999996</v>
      </c>
      <c r="B119">
        <v>7626.4809999999998</v>
      </c>
      <c r="C119">
        <v>7626.7209999999995</v>
      </c>
      <c r="E119">
        <f t="shared" si="3"/>
        <v>0.193000000000211</v>
      </c>
      <c r="F119">
        <f t="shared" si="4"/>
        <v>0.43299999999999272</v>
      </c>
      <c r="G119">
        <v>0.40799999999999997</v>
      </c>
      <c r="H119">
        <f t="shared" si="5"/>
        <v>6.2452499999981894</v>
      </c>
      <c r="I119">
        <v>9.52</v>
      </c>
    </row>
    <row r="120" spans="1:9" x14ac:dyDescent="0.35">
      <c r="A120">
        <v>7632.6530000000002</v>
      </c>
      <c r="B120">
        <v>7632.8459999999995</v>
      </c>
      <c r="C120">
        <v>7633.0789999999997</v>
      </c>
      <c r="E120">
        <f t="shared" si="3"/>
        <v>0.19299999999930151</v>
      </c>
      <c r="F120">
        <f t="shared" si="4"/>
        <v>0.42599999999947613</v>
      </c>
      <c r="G120">
        <v>0.40799999999999997</v>
      </c>
      <c r="H120">
        <f t="shared" si="5"/>
        <v>4.4965799998691391</v>
      </c>
      <c r="I120">
        <v>11.29</v>
      </c>
    </row>
    <row r="121" spans="1:9" x14ac:dyDescent="0.35">
      <c r="A121">
        <v>7639.0879999999997</v>
      </c>
      <c r="B121">
        <v>7639.2809999999999</v>
      </c>
      <c r="C121">
        <v>7639.5140000000001</v>
      </c>
      <c r="E121">
        <f t="shared" si="3"/>
        <v>0.193000000000211</v>
      </c>
      <c r="F121">
        <f t="shared" si="4"/>
        <v>0.42600000000038563</v>
      </c>
      <c r="G121">
        <v>0.40799999999999997</v>
      </c>
      <c r="H121">
        <f t="shared" si="5"/>
        <v>4.4965800000963396</v>
      </c>
      <c r="I121">
        <v>6.81</v>
      </c>
    </row>
    <row r="122" spans="1:9" x14ac:dyDescent="0.35">
      <c r="A122">
        <v>7646.43</v>
      </c>
      <c r="B122">
        <v>7646.6229999999996</v>
      </c>
      <c r="C122">
        <v>7646.8559999999998</v>
      </c>
      <c r="E122">
        <f t="shared" si="3"/>
        <v>0.19299999999930151</v>
      </c>
      <c r="F122">
        <f t="shared" si="4"/>
        <v>0.42599999999947613</v>
      </c>
      <c r="G122">
        <v>0.40799999999999997</v>
      </c>
      <c r="H122">
        <f t="shared" si="5"/>
        <v>4.4965799998691391</v>
      </c>
      <c r="I122">
        <v>10.75</v>
      </c>
    </row>
    <row r="123" spans="1:9" x14ac:dyDescent="0.35">
      <c r="A123">
        <v>7652.8329999999996</v>
      </c>
      <c r="B123">
        <v>7653.0259999999998</v>
      </c>
      <c r="C123">
        <v>7653.2659999999996</v>
      </c>
      <c r="E123">
        <f t="shared" si="3"/>
        <v>0.193000000000211</v>
      </c>
      <c r="F123">
        <f t="shared" si="4"/>
        <v>0.43299999999999272</v>
      </c>
      <c r="G123">
        <v>0.40799999999999997</v>
      </c>
      <c r="H123">
        <f t="shared" si="5"/>
        <v>6.2452499999981894</v>
      </c>
      <c r="I123">
        <v>7.07</v>
      </c>
    </row>
    <row r="124" spans="1:9" x14ac:dyDescent="0.35">
      <c r="A124">
        <v>7659.2569999999996</v>
      </c>
      <c r="B124">
        <v>7659.45</v>
      </c>
      <c r="C124">
        <v>7659.69</v>
      </c>
      <c r="E124">
        <f t="shared" si="3"/>
        <v>0.193000000000211</v>
      </c>
      <c r="F124">
        <f t="shared" si="4"/>
        <v>0.43299999999999272</v>
      </c>
      <c r="G124">
        <v>0.40799999999999997</v>
      </c>
      <c r="H124">
        <f t="shared" si="5"/>
        <v>6.2452499999981894</v>
      </c>
      <c r="I124">
        <v>10.87</v>
      </c>
    </row>
    <row r="125" spans="1:9" x14ac:dyDescent="0.35">
      <c r="A125">
        <v>7665.6419999999998</v>
      </c>
      <c r="B125">
        <v>7665.8320000000003</v>
      </c>
      <c r="C125">
        <v>7666.0680000000002</v>
      </c>
      <c r="E125">
        <f t="shared" si="3"/>
        <v>0.19000000000050932</v>
      </c>
      <c r="F125">
        <f t="shared" si="4"/>
        <v>0.42600000000038563</v>
      </c>
      <c r="G125">
        <v>0.40799999999999997</v>
      </c>
      <c r="H125">
        <f t="shared" si="5"/>
        <v>4.4965800000963396</v>
      </c>
      <c r="I125">
        <v>9.81</v>
      </c>
    </row>
    <row r="126" spans="1:9" x14ac:dyDescent="0.35">
      <c r="A126">
        <v>7672.0569999999998</v>
      </c>
      <c r="B126">
        <v>7672.25</v>
      </c>
      <c r="C126">
        <v>7672.4830000000002</v>
      </c>
      <c r="E126">
        <f t="shared" si="3"/>
        <v>0.193000000000211</v>
      </c>
      <c r="F126">
        <f t="shared" si="4"/>
        <v>0.42600000000038563</v>
      </c>
      <c r="G126">
        <v>0.40799999999999997</v>
      </c>
      <c r="H126">
        <f t="shared" si="5"/>
        <v>4.4965800000963396</v>
      </c>
      <c r="I126">
        <v>7.96</v>
      </c>
    </row>
    <row r="127" spans="1:9" x14ac:dyDescent="0.35">
      <c r="A127">
        <v>7679.4</v>
      </c>
      <c r="B127">
        <v>7679.5929999999998</v>
      </c>
      <c r="C127">
        <v>7679.826</v>
      </c>
      <c r="E127">
        <f t="shared" si="3"/>
        <v>0.193000000000211</v>
      </c>
      <c r="F127">
        <f t="shared" si="4"/>
        <v>0.42600000000038563</v>
      </c>
      <c r="G127">
        <v>0.40799999999999997</v>
      </c>
      <c r="H127">
        <f t="shared" si="5"/>
        <v>4.4965800000963396</v>
      </c>
      <c r="I127">
        <v>10.07</v>
      </c>
    </row>
    <row r="128" spans="1:9" x14ac:dyDescent="0.35">
      <c r="A128">
        <v>7685.7839999999997</v>
      </c>
      <c r="B128">
        <v>7685.9769999999999</v>
      </c>
      <c r="C128">
        <v>7686.2169999999996</v>
      </c>
      <c r="E128">
        <f t="shared" si="3"/>
        <v>0.193000000000211</v>
      </c>
      <c r="F128">
        <f t="shared" si="4"/>
        <v>0.43299999999999272</v>
      </c>
      <c r="G128">
        <v>0.40799999999999997</v>
      </c>
      <c r="H128">
        <f t="shared" si="5"/>
        <v>6.2452499999981894</v>
      </c>
      <c r="I128">
        <v>8.4700000000000006</v>
      </c>
    </row>
    <row r="129" spans="1:9" x14ac:dyDescent="0.35">
      <c r="A129">
        <v>7692.1670000000004</v>
      </c>
      <c r="B129">
        <v>7692.36</v>
      </c>
      <c r="C129">
        <v>7692.5929999999998</v>
      </c>
      <c r="E129">
        <f t="shared" si="3"/>
        <v>0.19299999999930151</v>
      </c>
      <c r="F129">
        <f t="shared" si="4"/>
        <v>0.42599999999947613</v>
      </c>
      <c r="G129">
        <v>0.40799999999999997</v>
      </c>
      <c r="H129">
        <f t="shared" si="5"/>
        <v>4.4965799998691391</v>
      </c>
      <c r="I129">
        <v>11.13</v>
      </c>
    </row>
    <row r="130" spans="1:9" x14ac:dyDescent="0.35">
      <c r="A130">
        <v>7698.6019999999999</v>
      </c>
      <c r="B130">
        <v>7698.7950000000001</v>
      </c>
      <c r="C130">
        <v>7699.0349999999999</v>
      </c>
      <c r="E130">
        <f t="shared" si="3"/>
        <v>0.193000000000211</v>
      </c>
      <c r="F130">
        <f t="shared" si="4"/>
        <v>0.43299999999999272</v>
      </c>
      <c r="G130">
        <v>0.40799999999999997</v>
      </c>
      <c r="H130">
        <f t="shared" si="5"/>
        <v>6.2452499999981894</v>
      </c>
      <c r="I130">
        <v>7.61</v>
      </c>
    </row>
    <row r="131" spans="1:9" x14ac:dyDescent="0.35">
      <c r="A131">
        <v>7704.9870000000001</v>
      </c>
      <c r="B131">
        <v>7705.18</v>
      </c>
      <c r="C131">
        <v>7705.42</v>
      </c>
      <c r="E131">
        <f t="shared" ref="E131:E143" si="6">B131-A131</f>
        <v>0.193000000000211</v>
      </c>
      <c r="F131">
        <f t="shared" ref="F131:F143" si="7">C131-A131</f>
        <v>0.43299999999999272</v>
      </c>
      <c r="G131">
        <v>0.40799999999999997</v>
      </c>
      <c r="H131">
        <f t="shared" ref="H131:H143" si="8">(F131-G131)*249.81</f>
        <v>6.2452499999981894</v>
      </c>
      <c r="I131">
        <v>10.67</v>
      </c>
    </row>
    <row r="132" spans="1:9" x14ac:dyDescent="0.35">
      <c r="A132">
        <v>7712.34</v>
      </c>
      <c r="B132">
        <v>7712.5259999999998</v>
      </c>
      <c r="C132">
        <v>7712.7659999999996</v>
      </c>
      <c r="E132">
        <f t="shared" si="6"/>
        <v>0.18599999999969441</v>
      </c>
      <c r="F132">
        <f t="shared" si="7"/>
        <v>0.42599999999947613</v>
      </c>
      <c r="G132">
        <v>0.40799999999999997</v>
      </c>
      <c r="H132">
        <f t="shared" si="8"/>
        <v>4.4965799998691391</v>
      </c>
      <c r="I132">
        <v>9.9499999999999993</v>
      </c>
    </row>
    <row r="133" spans="1:9" x14ac:dyDescent="0.35">
      <c r="A133">
        <v>7718.723</v>
      </c>
      <c r="B133">
        <v>7718.9089999999997</v>
      </c>
      <c r="C133">
        <v>7719.1490000000003</v>
      </c>
      <c r="E133">
        <f t="shared" si="6"/>
        <v>0.18599999999969441</v>
      </c>
      <c r="F133">
        <f t="shared" si="7"/>
        <v>0.42600000000038563</v>
      </c>
      <c r="G133">
        <v>0.40799999999999997</v>
      </c>
      <c r="H133">
        <f t="shared" si="8"/>
        <v>4.4965800000963396</v>
      </c>
      <c r="I133">
        <v>8.4700000000000006</v>
      </c>
    </row>
    <row r="134" spans="1:9" x14ac:dyDescent="0.35">
      <c r="A134">
        <v>7725.107</v>
      </c>
      <c r="B134">
        <v>7725.2929999999997</v>
      </c>
      <c r="C134">
        <v>7725.5370000000003</v>
      </c>
      <c r="E134">
        <f t="shared" si="6"/>
        <v>0.18599999999969441</v>
      </c>
      <c r="F134">
        <f t="shared" si="7"/>
        <v>0.43000000000029104</v>
      </c>
      <c r="G134">
        <v>0.40799999999999997</v>
      </c>
      <c r="H134">
        <f t="shared" si="8"/>
        <v>5.4958200000727109</v>
      </c>
      <c r="I134">
        <v>7.44</v>
      </c>
    </row>
    <row r="135" spans="1:9" x14ac:dyDescent="0.35">
      <c r="A135">
        <v>7731.5209999999997</v>
      </c>
      <c r="B135">
        <v>7731.7110000000002</v>
      </c>
      <c r="C135">
        <v>7731.9470000000001</v>
      </c>
      <c r="E135">
        <f t="shared" si="6"/>
        <v>0.19000000000050932</v>
      </c>
      <c r="F135">
        <f t="shared" si="7"/>
        <v>0.42600000000038563</v>
      </c>
      <c r="G135">
        <v>0.40799999999999997</v>
      </c>
      <c r="H135">
        <f t="shared" si="8"/>
        <v>4.4965800000963396</v>
      </c>
      <c r="I135">
        <v>10.28</v>
      </c>
    </row>
    <row r="136" spans="1:9" x14ac:dyDescent="0.35">
      <c r="A136">
        <v>7737.915</v>
      </c>
      <c r="B136">
        <v>7738.1009999999997</v>
      </c>
      <c r="C136">
        <v>7738.348</v>
      </c>
      <c r="E136">
        <f t="shared" si="6"/>
        <v>0.18599999999969441</v>
      </c>
      <c r="F136">
        <f t="shared" si="7"/>
        <v>0.43299999999999272</v>
      </c>
      <c r="G136">
        <v>0.40799999999999997</v>
      </c>
      <c r="H136">
        <f t="shared" si="8"/>
        <v>6.2452499999981894</v>
      </c>
      <c r="I136">
        <v>7.41</v>
      </c>
    </row>
    <row r="137" spans="1:9" x14ac:dyDescent="0.35">
      <c r="A137">
        <v>7745.299</v>
      </c>
      <c r="B137">
        <v>7745.4849999999997</v>
      </c>
      <c r="C137">
        <v>7745.7250000000004</v>
      </c>
      <c r="E137">
        <f t="shared" si="6"/>
        <v>0.18599999999969441</v>
      </c>
      <c r="F137">
        <f t="shared" si="7"/>
        <v>0.42600000000038563</v>
      </c>
      <c r="G137">
        <v>0.40799999999999997</v>
      </c>
      <c r="H137">
        <f t="shared" si="8"/>
        <v>4.4965800000963396</v>
      </c>
      <c r="I137">
        <v>11.09</v>
      </c>
    </row>
    <row r="138" spans="1:9" x14ac:dyDescent="0.35">
      <c r="A138">
        <v>7751.6729999999998</v>
      </c>
      <c r="B138">
        <v>7751.866</v>
      </c>
      <c r="C138">
        <v>7752.0990000000002</v>
      </c>
      <c r="E138">
        <f t="shared" si="6"/>
        <v>0.193000000000211</v>
      </c>
      <c r="F138">
        <f t="shared" si="7"/>
        <v>0.42600000000038563</v>
      </c>
      <c r="G138">
        <v>0.40799999999999997</v>
      </c>
      <c r="H138">
        <f t="shared" si="8"/>
        <v>4.4965800000963396</v>
      </c>
      <c r="I138">
        <v>7.49</v>
      </c>
    </row>
    <row r="139" spans="1:9" x14ac:dyDescent="0.35">
      <c r="A139">
        <v>7758.107</v>
      </c>
      <c r="B139">
        <v>7758.2929999999997</v>
      </c>
      <c r="C139">
        <v>7758.54</v>
      </c>
      <c r="E139">
        <f t="shared" si="6"/>
        <v>0.18599999999969441</v>
      </c>
      <c r="F139">
        <f t="shared" si="7"/>
        <v>0.43299999999999272</v>
      </c>
      <c r="G139">
        <v>0.40799999999999997</v>
      </c>
      <c r="H139">
        <f t="shared" si="8"/>
        <v>6.2452499999981894</v>
      </c>
      <c r="I139">
        <v>9.94</v>
      </c>
    </row>
    <row r="140" spans="1:9" x14ac:dyDescent="0.35">
      <c r="A140">
        <v>7764.4920000000002</v>
      </c>
      <c r="B140">
        <v>7764.6809999999996</v>
      </c>
      <c r="C140">
        <v>7764.9250000000002</v>
      </c>
      <c r="E140">
        <f t="shared" si="6"/>
        <v>0.1889999999993961</v>
      </c>
      <c r="F140">
        <f t="shared" si="7"/>
        <v>0.43299999999999272</v>
      </c>
      <c r="G140">
        <v>0.40799999999999997</v>
      </c>
      <c r="H140">
        <f t="shared" si="8"/>
        <v>6.2452499999981894</v>
      </c>
      <c r="I140">
        <v>9.94</v>
      </c>
    </row>
    <row r="141" spans="1:9" x14ac:dyDescent="0.35">
      <c r="A141">
        <v>7770.8770000000004</v>
      </c>
      <c r="B141">
        <v>7771.06</v>
      </c>
      <c r="C141">
        <v>7771.3029999999999</v>
      </c>
      <c r="E141">
        <f t="shared" si="6"/>
        <v>0.18299999999999272</v>
      </c>
      <c r="F141">
        <f t="shared" si="7"/>
        <v>0.42599999999947613</v>
      </c>
      <c r="G141">
        <v>0.40799999999999997</v>
      </c>
      <c r="H141">
        <f t="shared" si="8"/>
        <v>4.4965799998691391</v>
      </c>
      <c r="I141">
        <v>9.86</v>
      </c>
    </row>
    <row r="142" spans="1:9" x14ac:dyDescent="0.35">
      <c r="A142">
        <v>7778.28</v>
      </c>
      <c r="B142">
        <v>7778.4629999999997</v>
      </c>
      <c r="C142">
        <v>7778.7129999999997</v>
      </c>
      <c r="E142">
        <f t="shared" si="6"/>
        <v>0.18299999999999272</v>
      </c>
      <c r="F142">
        <f t="shared" si="7"/>
        <v>0.43299999999999272</v>
      </c>
      <c r="G142">
        <v>0.40799999999999997</v>
      </c>
      <c r="H142">
        <f t="shared" si="8"/>
        <v>6.2452499999981894</v>
      </c>
      <c r="I142">
        <v>8.3000000000000007</v>
      </c>
    </row>
    <row r="143" spans="1:9" x14ac:dyDescent="0.35">
      <c r="A143">
        <v>8210.9689999999991</v>
      </c>
      <c r="B143">
        <v>8211.1419999999998</v>
      </c>
      <c r="C143">
        <v>8211.3919999999998</v>
      </c>
      <c r="E143">
        <f t="shared" si="6"/>
        <v>0.17300000000068394</v>
      </c>
      <c r="F143">
        <f t="shared" si="7"/>
        <v>0.42300000000068394</v>
      </c>
      <c r="G143">
        <v>0.40799999999999997</v>
      </c>
      <c r="H143">
        <f t="shared" si="8"/>
        <v>3.7471500001708615</v>
      </c>
      <c r="I143">
        <v>11.34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4A32-2327-4D89-86E3-E807BE1529D8}">
  <dimension ref="A1:AE358"/>
  <sheetViews>
    <sheetView topLeftCell="A64" zoomScaleNormal="100" workbookViewId="0">
      <selection activeCell="F80" sqref="F80"/>
    </sheetView>
  </sheetViews>
  <sheetFormatPr defaultRowHeight="14.5" x14ac:dyDescent="0.35"/>
  <cols>
    <col min="2" max="5" width="11.1796875" customWidth="1"/>
    <col min="12" max="12" width="11.81640625" customWidth="1"/>
  </cols>
  <sheetData>
    <row r="1" spans="1:30" x14ac:dyDescent="0.35">
      <c r="B1" s="41" t="s">
        <v>304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R1" s="41" t="s">
        <v>305</v>
      </c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</row>
    <row r="2" spans="1:30" x14ac:dyDescent="0.35">
      <c r="A2" t="s">
        <v>309</v>
      </c>
      <c r="B2" t="s">
        <v>297</v>
      </c>
      <c r="C2" t="s">
        <v>295</v>
      </c>
      <c r="D2" t="s">
        <v>296</v>
      </c>
      <c r="E2" t="s">
        <v>298</v>
      </c>
      <c r="G2" t="s">
        <v>308</v>
      </c>
      <c r="I2" t="s">
        <v>299</v>
      </c>
      <c r="K2" t="s">
        <v>300</v>
      </c>
      <c r="M2" t="s">
        <v>301</v>
      </c>
      <c r="Q2" t="s">
        <v>309</v>
      </c>
      <c r="R2" t="s">
        <v>297</v>
      </c>
      <c r="S2" t="s">
        <v>295</v>
      </c>
      <c r="T2" t="s">
        <v>296</v>
      </c>
      <c r="U2" t="s">
        <v>298</v>
      </c>
      <c r="W2" t="s">
        <v>308</v>
      </c>
      <c r="Y2" t="s">
        <v>299</v>
      </c>
      <c r="AA2" t="s">
        <v>300</v>
      </c>
      <c r="AC2" t="s">
        <v>301</v>
      </c>
    </row>
    <row r="3" spans="1:30" x14ac:dyDescent="0.35">
      <c r="A3">
        <v>31274.309000000001</v>
      </c>
      <c r="B3">
        <v>31274.752</v>
      </c>
      <c r="C3">
        <v>31275.252</v>
      </c>
      <c r="D3">
        <v>31275.722000000002</v>
      </c>
      <c r="E3">
        <v>31276.117999999999</v>
      </c>
      <c r="G3">
        <f>B3-A3</f>
        <v>0.44299999999930151</v>
      </c>
      <c r="H3">
        <f>G3*251.31</f>
        <v>111.33032999982446</v>
      </c>
      <c r="I3">
        <f>C3-B3</f>
        <v>0.5</v>
      </c>
      <c r="J3">
        <f>I3*251.31</f>
        <v>125.655</v>
      </c>
      <c r="K3">
        <f>D3-C3</f>
        <v>0.47000000000116415</v>
      </c>
      <c r="L3">
        <f>K3*251.31</f>
        <v>118.11570000029256</v>
      </c>
      <c r="M3">
        <f>E3-D3</f>
        <v>0.39599999999700231</v>
      </c>
      <c r="N3">
        <f>M3*251.31</f>
        <v>99.518759999246655</v>
      </c>
      <c r="Q3">
        <v>6759.4120000000003</v>
      </c>
      <c r="R3">
        <v>6759.8729999999996</v>
      </c>
      <c r="S3">
        <v>6760.3819999999996</v>
      </c>
      <c r="T3">
        <v>6760.8530000000001</v>
      </c>
      <c r="U3">
        <v>6761.2539999999999</v>
      </c>
      <c r="W3">
        <f>R3-Q3</f>
        <v>0.46099999999933061</v>
      </c>
      <c r="X3">
        <f>W3*249.81</f>
        <v>115.16240999983278</v>
      </c>
      <c r="Y3">
        <f t="shared" ref="Y3:Y34" si="0">S3-R3</f>
        <v>0.50900000000001455</v>
      </c>
      <c r="Z3">
        <f>Y3*249.81</f>
        <v>127.15329000000364</v>
      </c>
      <c r="AA3">
        <f>T3-S3</f>
        <v>0.47100000000045839</v>
      </c>
      <c r="AB3">
        <f>AA3*249.81</f>
        <v>117.66051000011451</v>
      </c>
      <c r="AC3">
        <f>U3-T3</f>
        <v>0.40099999999983993</v>
      </c>
      <c r="AD3">
        <f>AC3*249.81</f>
        <v>100.17380999996001</v>
      </c>
    </row>
    <row r="4" spans="1:30" x14ac:dyDescent="0.35">
      <c r="A4">
        <v>31275.4</v>
      </c>
      <c r="B4">
        <v>31275.841</v>
      </c>
      <c r="C4">
        <v>31276.342000000001</v>
      </c>
      <c r="D4">
        <v>31276.832999999999</v>
      </c>
      <c r="E4">
        <v>31277.217000000001</v>
      </c>
      <c r="G4">
        <f t="shared" ref="G4:G67" si="1">B4-A4</f>
        <v>0.44099999999889405</v>
      </c>
      <c r="H4">
        <f t="shared" ref="H4:H67" si="2">G4*251.31</f>
        <v>110.82770999972206</v>
      </c>
      <c r="I4">
        <f t="shared" ref="I4:I67" si="3">C4-B4</f>
        <v>0.50100000000020373</v>
      </c>
      <c r="J4">
        <f t="shared" ref="J4:J67" si="4">I4*251.31</f>
        <v>125.90631000005121</v>
      </c>
      <c r="K4">
        <f t="shared" ref="K4:K67" si="5">D4-C4</f>
        <v>0.49099999999816646</v>
      </c>
      <c r="L4">
        <f t="shared" ref="L4:L67" si="6">K4*251.31</f>
        <v>123.39320999953921</v>
      </c>
      <c r="M4">
        <f t="shared" ref="M4:M67" si="7">E4-D4</f>
        <v>0.38400000000183354</v>
      </c>
      <c r="N4">
        <f t="shared" ref="N4:N67" si="8">M4*251.31</f>
        <v>96.503040000460786</v>
      </c>
      <c r="Q4">
        <v>7311.1149999999998</v>
      </c>
      <c r="R4">
        <v>7311.5720000000001</v>
      </c>
      <c r="S4">
        <v>7312.0820000000003</v>
      </c>
      <c r="T4">
        <v>7312.5519999999997</v>
      </c>
      <c r="U4">
        <v>7312.9480000000003</v>
      </c>
      <c r="W4">
        <f t="shared" ref="W4:W67" si="9">R4-Q4</f>
        <v>0.45700000000033469</v>
      </c>
      <c r="X4">
        <f t="shared" ref="X4:X67" si="10">W4*249.81</f>
        <v>114.16317000008361</v>
      </c>
      <c r="Y4">
        <f t="shared" si="0"/>
        <v>0.51000000000021828</v>
      </c>
      <c r="Z4">
        <f t="shared" ref="Z4:Z67" si="11">Y4*249.81</f>
        <v>127.40310000005454</v>
      </c>
      <c r="AA4">
        <f t="shared" ref="AA4:AA67" si="12">T4-S4</f>
        <v>0.46999999999934516</v>
      </c>
      <c r="AB4">
        <f t="shared" ref="AB4:AB67" si="13">AA4*249.81</f>
        <v>117.41069999983641</v>
      </c>
      <c r="AC4">
        <f t="shared" ref="AC4:AC67" si="14">U4-T4</f>
        <v>0.39600000000064028</v>
      </c>
      <c r="AD4">
        <f t="shared" ref="AD4:AD67" si="15">AC4*249.81</f>
        <v>98.924760000159949</v>
      </c>
    </row>
    <row r="5" spans="1:30" x14ac:dyDescent="0.35">
      <c r="A5">
        <v>31276.484</v>
      </c>
      <c r="B5">
        <v>31276.922999999999</v>
      </c>
      <c r="C5">
        <v>31277.433000000001</v>
      </c>
      <c r="D5">
        <v>31277.923999999999</v>
      </c>
      <c r="E5">
        <v>31278.298999999999</v>
      </c>
      <c r="G5">
        <f t="shared" si="1"/>
        <v>0.4389999999984866</v>
      </c>
      <c r="H5">
        <f t="shared" si="2"/>
        <v>110.32508999961966</v>
      </c>
      <c r="I5">
        <f t="shared" si="3"/>
        <v>0.51000000000203727</v>
      </c>
      <c r="J5">
        <f t="shared" si="4"/>
        <v>128.168100000512</v>
      </c>
      <c r="K5">
        <f t="shared" si="5"/>
        <v>0.49099999999816646</v>
      </c>
      <c r="L5">
        <f t="shared" si="6"/>
        <v>123.39320999953921</v>
      </c>
      <c r="M5">
        <f t="shared" si="7"/>
        <v>0.375</v>
      </c>
      <c r="N5">
        <f t="shared" si="8"/>
        <v>94.241250000000008</v>
      </c>
      <c r="Q5">
        <v>5857.4620000000004</v>
      </c>
      <c r="R5">
        <v>5857.9359999999997</v>
      </c>
      <c r="S5">
        <v>5858.4260000000004</v>
      </c>
      <c r="T5">
        <v>5858.8969999999999</v>
      </c>
      <c r="U5">
        <v>5859.2950000000001</v>
      </c>
      <c r="W5">
        <f t="shared" si="9"/>
        <v>0.47399999999925058</v>
      </c>
      <c r="X5">
        <f t="shared" si="10"/>
        <v>118.40993999981279</v>
      </c>
      <c r="Y5">
        <f t="shared" si="0"/>
        <v>0.49000000000069122</v>
      </c>
      <c r="Z5">
        <f t="shared" si="11"/>
        <v>122.40690000017267</v>
      </c>
      <c r="AA5">
        <f t="shared" si="12"/>
        <v>0.47099999999954889</v>
      </c>
      <c r="AB5">
        <f t="shared" si="13"/>
        <v>117.66050999988731</v>
      </c>
      <c r="AC5">
        <f t="shared" si="14"/>
        <v>0.39800000000013824</v>
      </c>
      <c r="AD5">
        <f t="shared" si="15"/>
        <v>99.424380000034532</v>
      </c>
    </row>
    <row r="6" spans="1:30" x14ac:dyDescent="0.35">
      <c r="A6">
        <v>31277.573</v>
      </c>
      <c r="B6">
        <v>31278.034</v>
      </c>
      <c r="C6">
        <v>31278.544999999998</v>
      </c>
      <c r="D6">
        <v>31279.024000000001</v>
      </c>
      <c r="E6">
        <v>31279.407999999999</v>
      </c>
      <c r="G6">
        <f t="shared" si="1"/>
        <v>0.46099999999933061</v>
      </c>
      <c r="H6">
        <f t="shared" si="2"/>
        <v>115.85390999983177</v>
      </c>
      <c r="I6">
        <f t="shared" si="3"/>
        <v>0.51099999999860302</v>
      </c>
      <c r="J6">
        <f t="shared" si="4"/>
        <v>128.41940999964893</v>
      </c>
      <c r="K6">
        <f t="shared" si="5"/>
        <v>0.47900000000299769</v>
      </c>
      <c r="L6">
        <f t="shared" si="6"/>
        <v>120.37749000075335</v>
      </c>
      <c r="M6">
        <f t="shared" si="7"/>
        <v>0.38399999999819556</v>
      </c>
      <c r="N6">
        <f t="shared" si="8"/>
        <v>96.50303999954653</v>
      </c>
      <c r="Q6">
        <v>5863.84</v>
      </c>
      <c r="R6">
        <v>5864.3</v>
      </c>
      <c r="S6">
        <v>5864.81</v>
      </c>
      <c r="T6">
        <v>5865.28</v>
      </c>
      <c r="U6">
        <v>5865.6790000000001</v>
      </c>
      <c r="W6">
        <f t="shared" si="9"/>
        <v>0.46000000000003638</v>
      </c>
      <c r="X6">
        <f t="shared" si="10"/>
        <v>114.91260000000909</v>
      </c>
      <c r="Y6">
        <f t="shared" si="0"/>
        <v>0.51000000000021828</v>
      </c>
      <c r="Z6">
        <f t="shared" si="11"/>
        <v>127.40310000005454</v>
      </c>
      <c r="AA6">
        <f t="shared" si="12"/>
        <v>0.46999999999934516</v>
      </c>
      <c r="AB6">
        <f t="shared" si="13"/>
        <v>117.41069999983641</v>
      </c>
      <c r="AC6">
        <f t="shared" si="14"/>
        <v>0.39900000000034197</v>
      </c>
      <c r="AD6">
        <f t="shared" si="15"/>
        <v>99.674190000085432</v>
      </c>
    </row>
    <row r="7" spans="1:30" x14ac:dyDescent="0.35">
      <c r="A7">
        <v>31278.66</v>
      </c>
      <c r="B7">
        <v>31279.103999999999</v>
      </c>
      <c r="C7">
        <v>31279.603999999999</v>
      </c>
      <c r="D7">
        <v>31280.084999999999</v>
      </c>
      <c r="E7">
        <v>31280.478999999999</v>
      </c>
      <c r="G7">
        <f t="shared" si="1"/>
        <v>0.44399999999950523</v>
      </c>
      <c r="H7">
        <f t="shared" si="2"/>
        <v>111.58163999987566</v>
      </c>
      <c r="I7">
        <f t="shared" si="3"/>
        <v>0.5</v>
      </c>
      <c r="J7">
        <f t="shared" si="4"/>
        <v>125.655</v>
      </c>
      <c r="K7">
        <f t="shared" si="5"/>
        <v>0.48099999999976717</v>
      </c>
      <c r="L7">
        <f t="shared" si="6"/>
        <v>120.88010999994148</v>
      </c>
      <c r="M7">
        <f t="shared" si="7"/>
        <v>0.39400000000023283</v>
      </c>
      <c r="N7">
        <f t="shared" si="8"/>
        <v>99.016140000058513</v>
      </c>
      <c r="Q7">
        <v>5870.223</v>
      </c>
      <c r="R7">
        <v>5870.674</v>
      </c>
      <c r="S7">
        <v>5871.1750000000002</v>
      </c>
      <c r="T7">
        <v>5871.6540000000005</v>
      </c>
      <c r="U7">
        <v>5872.049</v>
      </c>
      <c r="W7">
        <f t="shared" si="9"/>
        <v>0.45100000000002183</v>
      </c>
      <c r="X7">
        <f t="shared" si="10"/>
        <v>112.66431000000546</v>
      </c>
      <c r="Y7">
        <f t="shared" si="0"/>
        <v>0.50100000000020373</v>
      </c>
      <c r="Z7">
        <f t="shared" si="11"/>
        <v>125.1548100000509</v>
      </c>
      <c r="AA7">
        <f t="shared" si="12"/>
        <v>0.47900000000026921</v>
      </c>
      <c r="AB7">
        <f t="shared" si="13"/>
        <v>119.65899000006725</v>
      </c>
      <c r="AC7">
        <f t="shared" si="14"/>
        <v>0.39499999999952706</v>
      </c>
      <c r="AD7">
        <f t="shared" si="15"/>
        <v>98.674949999881861</v>
      </c>
    </row>
    <row r="8" spans="1:30" x14ac:dyDescent="0.35">
      <c r="A8">
        <v>31279.748</v>
      </c>
      <c r="B8">
        <v>31280.205000000002</v>
      </c>
      <c r="C8">
        <v>31280.696</v>
      </c>
      <c r="D8">
        <v>31281.179</v>
      </c>
      <c r="E8">
        <v>31281.562999999998</v>
      </c>
      <c r="G8">
        <f t="shared" si="1"/>
        <v>0.45700000000215368</v>
      </c>
      <c r="H8">
        <f t="shared" si="2"/>
        <v>114.84867000054125</v>
      </c>
      <c r="I8">
        <f t="shared" si="3"/>
        <v>0.49099999999816646</v>
      </c>
      <c r="J8">
        <f t="shared" si="4"/>
        <v>123.39320999953921</v>
      </c>
      <c r="K8">
        <f t="shared" si="5"/>
        <v>0.48300000000017462</v>
      </c>
      <c r="L8">
        <f t="shared" si="6"/>
        <v>121.38273000004389</v>
      </c>
      <c r="M8">
        <f t="shared" si="7"/>
        <v>0.38399999999819556</v>
      </c>
      <c r="N8">
        <f t="shared" si="8"/>
        <v>96.50303999954653</v>
      </c>
      <c r="Q8">
        <v>5876.6450000000004</v>
      </c>
      <c r="R8">
        <v>5877.0990000000002</v>
      </c>
      <c r="S8">
        <v>5877.5990000000002</v>
      </c>
      <c r="T8">
        <v>5878.0789999999997</v>
      </c>
      <c r="U8">
        <v>5878.473</v>
      </c>
      <c r="W8">
        <f t="shared" si="9"/>
        <v>0.45399999999972351</v>
      </c>
      <c r="X8">
        <f t="shared" si="10"/>
        <v>113.41373999993093</v>
      </c>
      <c r="Y8">
        <f t="shared" si="0"/>
        <v>0.5</v>
      </c>
      <c r="Z8">
        <f t="shared" si="11"/>
        <v>124.905</v>
      </c>
      <c r="AA8">
        <f t="shared" si="12"/>
        <v>0.47999999999956344</v>
      </c>
      <c r="AB8">
        <f t="shared" si="13"/>
        <v>119.90879999989095</v>
      </c>
      <c r="AC8">
        <f t="shared" si="14"/>
        <v>0.39400000000023283</v>
      </c>
      <c r="AD8">
        <f t="shared" si="15"/>
        <v>98.425140000058164</v>
      </c>
    </row>
    <row r="9" spans="1:30" x14ac:dyDescent="0.35">
      <c r="A9">
        <v>31280.835999999999</v>
      </c>
      <c r="B9">
        <v>31281.286</v>
      </c>
      <c r="C9">
        <v>31281.787</v>
      </c>
      <c r="D9">
        <v>31282.267</v>
      </c>
      <c r="E9">
        <v>31282.655999999999</v>
      </c>
      <c r="G9">
        <f t="shared" si="1"/>
        <v>0.4500000000007276</v>
      </c>
      <c r="H9">
        <f t="shared" si="2"/>
        <v>113.08950000018285</v>
      </c>
      <c r="I9">
        <f t="shared" si="3"/>
        <v>0.50100000000020373</v>
      </c>
      <c r="J9">
        <f t="shared" si="4"/>
        <v>125.90631000005121</v>
      </c>
      <c r="K9">
        <f t="shared" si="5"/>
        <v>0.47999999999956344</v>
      </c>
      <c r="L9">
        <f t="shared" si="6"/>
        <v>120.62879999989029</v>
      </c>
      <c r="M9">
        <f t="shared" si="7"/>
        <v>0.3889999999992142</v>
      </c>
      <c r="N9">
        <f t="shared" si="8"/>
        <v>97.759589999802515</v>
      </c>
      <c r="Q9">
        <v>5883.9769999999999</v>
      </c>
      <c r="R9">
        <v>5884.433</v>
      </c>
      <c r="S9">
        <v>5884.9430000000002</v>
      </c>
      <c r="T9">
        <v>5885.4229999999998</v>
      </c>
      <c r="U9">
        <v>5885.8149999999996</v>
      </c>
      <c r="W9">
        <f t="shared" si="9"/>
        <v>0.45600000000013097</v>
      </c>
      <c r="X9">
        <f t="shared" si="10"/>
        <v>113.91336000003272</v>
      </c>
      <c r="Y9">
        <f t="shared" si="0"/>
        <v>0.51000000000021828</v>
      </c>
      <c r="Z9">
        <f t="shared" si="11"/>
        <v>127.40310000005454</v>
      </c>
      <c r="AA9">
        <f t="shared" si="12"/>
        <v>0.47999999999956344</v>
      </c>
      <c r="AB9">
        <f t="shared" si="13"/>
        <v>119.90879999989095</v>
      </c>
      <c r="AC9">
        <f t="shared" si="14"/>
        <v>0.39199999999982538</v>
      </c>
      <c r="AD9">
        <f t="shared" si="15"/>
        <v>97.925519999956379</v>
      </c>
    </row>
    <row r="10" spans="1:30" x14ac:dyDescent="0.35">
      <c r="A10">
        <v>31281.927</v>
      </c>
      <c r="B10">
        <v>31282.377</v>
      </c>
      <c r="C10">
        <v>31282.876</v>
      </c>
      <c r="D10">
        <v>31283.359</v>
      </c>
      <c r="E10">
        <v>31283.746999999999</v>
      </c>
      <c r="G10">
        <f t="shared" si="1"/>
        <v>0.4500000000007276</v>
      </c>
      <c r="H10">
        <f t="shared" si="2"/>
        <v>113.08950000018285</v>
      </c>
      <c r="I10">
        <f t="shared" si="3"/>
        <v>0.49899999999979627</v>
      </c>
      <c r="J10">
        <f t="shared" si="4"/>
        <v>125.4036899999488</v>
      </c>
      <c r="K10">
        <f t="shared" si="5"/>
        <v>0.48300000000017462</v>
      </c>
      <c r="L10">
        <f t="shared" si="6"/>
        <v>121.38273000004389</v>
      </c>
      <c r="M10">
        <f t="shared" si="7"/>
        <v>0.38799999999901047</v>
      </c>
      <c r="N10">
        <f t="shared" si="8"/>
        <v>97.508279999751323</v>
      </c>
      <c r="Q10">
        <v>5890.4059999999999</v>
      </c>
      <c r="R10">
        <v>5890.8649999999998</v>
      </c>
      <c r="S10">
        <v>5891.3760000000002</v>
      </c>
      <c r="T10">
        <v>5891.8450000000003</v>
      </c>
      <c r="U10">
        <v>5892.2439999999997</v>
      </c>
      <c r="W10">
        <f t="shared" si="9"/>
        <v>0.45899999999983265</v>
      </c>
      <c r="X10">
        <f t="shared" si="10"/>
        <v>114.66278999995819</v>
      </c>
      <c r="Y10">
        <f t="shared" si="0"/>
        <v>0.51100000000042201</v>
      </c>
      <c r="Z10">
        <f t="shared" si="11"/>
        <v>127.65291000010542</v>
      </c>
      <c r="AA10">
        <f t="shared" si="12"/>
        <v>0.46900000000005093</v>
      </c>
      <c r="AB10">
        <f t="shared" si="13"/>
        <v>117.16089000001273</v>
      </c>
      <c r="AC10">
        <f t="shared" si="14"/>
        <v>0.39899999999943248</v>
      </c>
      <c r="AD10">
        <f t="shared" si="15"/>
        <v>99.674189999858228</v>
      </c>
    </row>
    <row r="11" spans="1:30" x14ac:dyDescent="0.35">
      <c r="A11">
        <v>31283.012999999999</v>
      </c>
      <c r="B11">
        <v>31283.46</v>
      </c>
      <c r="C11">
        <v>31283.96</v>
      </c>
      <c r="D11">
        <v>31284.440999999999</v>
      </c>
      <c r="E11">
        <v>31284.829000000002</v>
      </c>
      <c r="G11">
        <f t="shared" si="1"/>
        <v>0.44700000000011642</v>
      </c>
      <c r="H11">
        <f t="shared" si="2"/>
        <v>112.33557000002926</v>
      </c>
      <c r="I11">
        <f t="shared" si="3"/>
        <v>0.5</v>
      </c>
      <c r="J11">
        <f t="shared" si="4"/>
        <v>125.655</v>
      </c>
      <c r="K11">
        <f t="shared" si="5"/>
        <v>0.48099999999976717</v>
      </c>
      <c r="L11">
        <f t="shared" si="6"/>
        <v>120.88010999994148</v>
      </c>
      <c r="M11">
        <f t="shared" si="7"/>
        <v>0.38800000000264845</v>
      </c>
      <c r="N11">
        <f t="shared" si="8"/>
        <v>97.508280000665579</v>
      </c>
      <c r="Q11">
        <v>5896.7820000000002</v>
      </c>
      <c r="R11">
        <v>5897.2380000000003</v>
      </c>
      <c r="S11">
        <v>5897.7389999999996</v>
      </c>
      <c r="T11">
        <v>5898.2190000000001</v>
      </c>
      <c r="U11">
        <v>5898.6149999999998</v>
      </c>
      <c r="W11">
        <f t="shared" si="9"/>
        <v>0.45600000000013097</v>
      </c>
      <c r="X11">
        <f t="shared" si="10"/>
        <v>113.91336000003272</v>
      </c>
      <c r="Y11">
        <f t="shared" si="0"/>
        <v>0.50099999999929423</v>
      </c>
      <c r="Z11">
        <f t="shared" si="11"/>
        <v>125.1548099998237</v>
      </c>
      <c r="AA11">
        <f t="shared" si="12"/>
        <v>0.48000000000047294</v>
      </c>
      <c r="AB11">
        <f t="shared" si="13"/>
        <v>119.90880000011815</v>
      </c>
      <c r="AC11">
        <f t="shared" si="14"/>
        <v>0.39599999999973079</v>
      </c>
      <c r="AD11">
        <f t="shared" si="15"/>
        <v>98.924759999932746</v>
      </c>
    </row>
    <row r="12" spans="1:30" x14ac:dyDescent="0.35">
      <c r="A12">
        <v>31284.101999999999</v>
      </c>
      <c r="B12">
        <v>31284.561000000002</v>
      </c>
      <c r="C12">
        <v>31285.05</v>
      </c>
      <c r="D12">
        <v>31285.52</v>
      </c>
      <c r="E12">
        <v>31285.913</v>
      </c>
      <c r="G12">
        <f t="shared" si="1"/>
        <v>0.45900000000256114</v>
      </c>
      <c r="H12">
        <f t="shared" si="2"/>
        <v>115.35129000064364</v>
      </c>
      <c r="I12">
        <f t="shared" si="3"/>
        <v>0.48899999999775901</v>
      </c>
      <c r="J12">
        <f t="shared" si="4"/>
        <v>122.89058999943681</v>
      </c>
      <c r="K12">
        <f t="shared" si="5"/>
        <v>0.47000000000116415</v>
      </c>
      <c r="L12">
        <f t="shared" si="6"/>
        <v>118.11570000029256</v>
      </c>
      <c r="M12">
        <f t="shared" si="7"/>
        <v>0.3930000000000291</v>
      </c>
      <c r="N12">
        <f t="shared" si="8"/>
        <v>98.764830000007322</v>
      </c>
      <c r="Q12">
        <v>5903.1729999999998</v>
      </c>
      <c r="R12">
        <v>5903.6329999999998</v>
      </c>
      <c r="S12">
        <v>5904.1419999999998</v>
      </c>
      <c r="T12">
        <v>5904.6109999999999</v>
      </c>
      <c r="U12">
        <v>5905.0050000000001</v>
      </c>
      <c r="W12">
        <f t="shared" si="9"/>
        <v>0.46000000000003638</v>
      </c>
      <c r="X12">
        <f t="shared" si="10"/>
        <v>114.91260000000909</v>
      </c>
      <c r="Y12">
        <f t="shared" si="0"/>
        <v>0.50900000000001455</v>
      </c>
      <c r="Z12">
        <f t="shared" si="11"/>
        <v>127.15329000000364</v>
      </c>
      <c r="AA12">
        <f t="shared" si="12"/>
        <v>0.46900000000005093</v>
      </c>
      <c r="AB12">
        <f t="shared" si="13"/>
        <v>117.16089000001273</v>
      </c>
      <c r="AC12">
        <f t="shared" si="14"/>
        <v>0.39400000000023283</v>
      </c>
      <c r="AD12">
        <f t="shared" si="15"/>
        <v>98.425140000058164</v>
      </c>
    </row>
    <row r="13" spans="1:30" x14ac:dyDescent="0.35">
      <c r="A13">
        <v>31285.19</v>
      </c>
      <c r="B13">
        <v>31285.641</v>
      </c>
      <c r="C13">
        <v>31286.141</v>
      </c>
      <c r="D13">
        <v>31286.632000000001</v>
      </c>
      <c r="E13">
        <v>31287.008999999998</v>
      </c>
      <c r="G13">
        <f t="shared" si="1"/>
        <v>0.45100000000093132</v>
      </c>
      <c r="H13">
        <f t="shared" si="2"/>
        <v>113.34081000023406</v>
      </c>
      <c r="I13">
        <f t="shared" si="3"/>
        <v>0.5</v>
      </c>
      <c r="J13">
        <f t="shared" si="4"/>
        <v>125.655</v>
      </c>
      <c r="K13">
        <f t="shared" si="5"/>
        <v>0.49100000000180444</v>
      </c>
      <c r="L13">
        <f t="shared" si="6"/>
        <v>123.39321000045348</v>
      </c>
      <c r="M13">
        <f t="shared" si="7"/>
        <v>0.37699999999676947</v>
      </c>
      <c r="N13">
        <f t="shared" si="8"/>
        <v>94.743869999188135</v>
      </c>
      <c r="Q13">
        <v>5909.6310000000003</v>
      </c>
      <c r="R13">
        <v>5910.0879999999997</v>
      </c>
      <c r="S13">
        <v>5910.5870000000004</v>
      </c>
      <c r="T13">
        <v>5911.0659999999998</v>
      </c>
      <c r="U13">
        <v>5911.4589999999998</v>
      </c>
      <c r="W13">
        <f t="shared" si="9"/>
        <v>0.4569999999994252</v>
      </c>
      <c r="X13">
        <f t="shared" si="10"/>
        <v>114.16316999985641</v>
      </c>
      <c r="Y13">
        <f t="shared" si="0"/>
        <v>0.49900000000070577</v>
      </c>
      <c r="Z13">
        <f t="shared" si="11"/>
        <v>124.6551900001763</v>
      </c>
      <c r="AA13">
        <f t="shared" si="12"/>
        <v>0.47899999999935972</v>
      </c>
      <c r="AB13">
        <f t="shared" si="13"/>
        <v>119.65898999984005</v>
      </c>
      <c r="AC13">
        <f t="shared" si="14"/>
        <v>0.3930000000000291</v>
      </c>
      <c r="AD13">
        <f t="shared" si="15"/>
        <v>98.175330000007278</v>
      </c>
    </row>
    <row r="14" spans="1:30" x14ac:dyDescent="0.35">
      <c r="A14">
        <v>31286.277999999998</v>
      </c>
      <c r="B14">
        <v>31286.722000000002</v>
      </c>
      <c r="C14">
        <v>31287.222000000002</v>
      </c>
      <c r="D14">
        <v>31287.701000000001</v>
      </c>
      <c r="E14">
        <v>31288.092000000001</v>
      </c>
      <c r="G14">
        <f t="shared" si="1"/>
        <v>0.44400000000314321</v>
      </c>
      <c r="H14">
        <f t="shared" si="2"/>
        <v>111.58164000078992</v>
      </c>
      <c r="I14">
        <f t="shared" si="3"/>
        <v>0.5</v>
      </c>
      <c r="J14">
        <f t="shared" si="4"/>
        <v>125.655</v>
      </c>
      <c r="K14">
        <f t="shared" si="5"/>
        <v>0.47899999999935972</v>
      </c>
      <c r="L14">
        <f t="shared" si="6"/>
        <v>120.37748999983909</v>
      </c>
      <c r="M14">
        <f t="shared" si="7"/>
        <v>0.39099999999962165</v>
      </c>
      <c r="N14">
        <f t="shared" si="8"/>
        <v>98.262209999904911</v>
      </c>
      <c r="Q14">
        <v>5916.97</v>
      </c>
      <c r="R14">
        <v>5917.4309999999996</v>
      </c>
      <c r="S14">
        <v>5917.9430000000002</v>
      </c>
      <c r="T14">
        <v>5918.4120000000003</v>
      </c>
      <c r="U14">
        <v>5918.8050000000003</v>
      </c>
      <c r="W14">
        <f t="shared" si="9"/>
        <v>0.46099999999933061</v>
      </c>
      <c r="X14">
        <f t="shared" si="10"/>
        <v>115.16240999983278</v>
      </c>
      <c r="Y14">
        <f t="shared" si="0"/>
        <v>0.51200000000062573</v>
      </c>
      <c r="Z14">
        <f t="shared" si="11"/>
        <v>127.90272000015632</v>
      </c>
      <c r="AA14">
        <f t="shared" si="12"/>
        <v>0.46900000000005093</v>
      </c>
      <c r="AB14">
        <f t="shared" si="13"/>
        <v>117.16089000001273</v>
      </c>
      <c r="AC14">
        <f t="shared" si="14"/>
        <v>0.3930000000000291</v>
      </c>
      <c r="AD14">
        <f t="shared" si="15"/>
        <v>98.175330000007278</v>
      </c>
    </row>
    <row r="15" spans="1:30" x14ac:dyDescent="0.35">
      <c r="A15">
        <v>31296.191999999999</v>
      </c>
      <c r="B15">
        <v>31296.627</v>
      </c>
      <c r="C15">
        <v>31297.135999999999</v>
      </c>
      <c r="D15">
        <v>31297.617999999999</v>
      </c>
      <c r="E15">
        <v>31298.005000000001</v>
      </c>
      <c r="G15">
        <f t="shared" si="1"/>
        <v>0.43500000000130967</v>
      </c>
      <c r="H15">
        <f t="shared" si="2"/>
        <v>109.31985000032914</v>
      </c>
      <c r="I15">
        <f t="shared" si="3"/>
        <v>0.50899999999819556</v>
      </c>
      <c r="J15">
        <f t="shared" si="4"/>
        <v>127.91678999954652</v>
      </c>
      <c r="K15">
        <f t="shared" si="5"/>
        <v>0.4819999999999709</v>
      </c>
      <c r="L15">
        <f t="shared" si="6"/>
        <v>121.13141999999269</v>
      </c>
      <c r="M15">
        <f t="shared" si="7"/>
        <v>0.38700000000244472</v>
      </c>
      <c r="N15">
        <f t="shared" si="8"/>
        <v>97.256970000614388</v>
      </c>
      <c r="Q15">
        <v>5923.3959999999997</v>
      </c>
      <c r="R15">
        <v>5923.8549999999996</v>
      </c>
      <c r="S15">
        <v>5924.3649999999998</v>
      </c>
      <c r="T15">
        <v>5924.8440000000001</v>
      </c>
      <c r="U15">
        <v>5925.2349999999997</v>
      </c>
      <c r="W15">
        <f t="shared" si="9"/>
        <v>0.45899999999983265</v>
      </c>
      <c r="X15">
        <f t="shared" si="10"/>
        <v>114.66278999995819</v>
      </c>
      <c r="Y15">
        <f t="shared" si="0"/>
        <v>0.51000000000021828</v>
      </c>
      <c r="Z15">
        <f t="shared" si="11"/>
        <v>127.40310000005454</v>
      </c>
      <c r="AA15">
        <f t="shared" si="12"/>
        <v>0.47900000000026921</v>
      </c>
      <c r="AB15">
        <f t="shared" si="13"/>
        <v>119.65899000006725</v>
      </c>
      <c r="AC15">
        <f t="shared" si="14"/>
        <v>0.39099999999962165</v>
      </c>
      <c r="AD15">
        <f t="shared" si="15"/>
        <v>97.675709999905479</v>
      </c>
    </row>
    <row r="16" spans="1:30" x14ac:dyDescent="0.35">
      <c r="A16">
        <v>31297.286</v>
      </c>
      <c r="B16">
        <v>31297.719000000001</v>
      </c>
      <c r="C16">
        <v>31298.228999999999</v>
      </c>
      <c r="D16">
        <v>31298.698</v>
      </c>
      <c r="E16">
        <v>31299.096000000001</v>
      </c>
      <c r="G16">
        <f t="shared" si="1"/>
        <v>0.43300000000090222</v>
      </c>
      <c r="H16">
        <f t="shared" si="2"/>
        <v>108.81723000022674</v>
      </c>
      <c r="I16">
        <f t="shared" si="3"/>
        <v>0.50999999999839929</v>
      </c>
      <c r="J16">
        <f t="shared" si="4"/>
        <v>128.16809999959773</v>
      </c>
      <c r="K16">
        <f t="shared" si="5"/>
        <v>0.46900000000096043</v>
      </c>
      <c r="L16">
        <f t="shared" si="6"/>
        <v>117.86439000024137</v>
      </c>
      <c r="M16">
        <f t="shared" si="7"/>
        <v>0.39800000000104774</v>
      </c>
      <c r="N16">
        <f t="shared" si="8"/>
        <v>100.02138000026331</v>
      </c>
      <c r="Q16">
        <v>5929.7809999999999</v>
      </c>
      <c r="R16">
        <v>5930.2389999999996</v>
      </c>
      <c r="S16">
        <v>5930.7489999999998</v>
      </c>
      <c r="T16">
        <v>5931.2179999999998</v>
      </c>
      <c r="U16">
        <v>5931.6130000000003</v>
      </c>
      <c r="W16">
        <f t="shared" si="9"/>
        <v>0.45799999999962893</v>
      </c>
      <c r="X16">
        <f t="shared" si="10"/>
        <v>114.41297999990731</v>
      </c>
      <c r="Y16">
        <f t="shared" si="0"/>
        <v>0.51000000000021828</v>
      </c>
      <c r="Z16">
        <f t="shared" si="11"/>
        <v>127.40310000005454</v>
      </c>
      <c r="AA16">
        <f t="shared" si="12"/>
        <v>0.46900000000005093</v>
      </c>
      <c r="AB16">
        <f t="shared" si="13"/>
        <v>117.16089000001273</v>
      </c>
      <c r="AC16">
        <f t="shared" si="14"/>
        <v>0.39500000000043656</v>
      </c>
      <c r="AD16">
        <f t="shared" si="15"/>
        <v>98.674950000109064</v>
      </c>
    </row>
    <row r="17" spans="1:30" x14ac:dyDescent="0.35">
      <c r="A17">
        <v>31298.365000000002</v>
      </c>
      <c r="B17">
        <v>31298.798999999999</v>
      </c>
      <c r="C17">
        <v>31299.309000000001</v>
      </c>
      <c r="D17">
        <v>31299.798999999999</v>
      </c>
      <c r="E17">
        <v>31300.181</v>
      </c>
      <c r="G17">
        <f t="shared" si="1"/>
        <v>0.43399999999746797</v>
      </c>
      <c r="H17">
        <f t="shared" si="2"/>
        <v>109.06853999936368</v>
      </c>
      <c r="I17">
        <f t="shared" si="3"/>
        <v>0.51000000000203727</v>
      </c>
      <c r="J17">
        <f t="shared" si="4"/>
        <v>128.168100000512</v>
      </c>
      <c r="K17">
        <f t="shared" si="5"/>
        <v>0.48999999999796273</v>
      </c>
      <c r="L17">
        <f t="shared" si="6"/>
        <v>123.14189999948802</v>
      </c>
      <c r="M17">
        <f t="shared" si="7"/>
        <v>0.38200000000142609</v>
      </c>
      <c r="N17">
        <f t="shared" si="8"/>
        <v>96.000420000358389</v>
      </c>
      <c r="Q17">
        <v>5936.2190000000001</v>
      </c>
      <c r="R17">
        <v>5936.674</v>
      </c>
      <c r="S17">
        <v>5937.1719999999996</v>
      </c>
      <c r="T17">
        <v>5937.6530000000002</v>
      </c>
      <c r="U17">
        <v>5938.0450000000001</v>
      </c>
      <c r="W17">
        <f t="shared" si="9"/>
        <v>0.45499999999992724</v>
      </c>
      <c r="X17">
        <f t="shared" si="10"/>
        <v>113.66354999998183</v>
      </c>
      <c r="Y17">
        <f t="shared" si="0"/>
        <v>0.49799999999959255</v>
      </c>
      <c r="Z17">
        <f t="shared" si="11"/>
        <v>124.40537999989822</v>
      </c>
      <c r="AA17">
        <f t="shared" si="12"/>
        <v>0.48100000000067666</v>
      </c>
      <c r="AB17">
        <f t="shared" si="13"/>
        <v>120.15861000016903</v>
      </c>
      <c r="AC17">
        <f t="shared" si="14"/>
        <v>0.39199999999982538</v>
      </c>
      <c r="AD17">
        <f t="shared" si="15"/>
        <v>97.925519999956379</v>
      </c>
    </row>
    <row r="18" spans="1:30" x14ac:dyDescent="0.35">
      <c r="A18">
        <v>31299.454000000002</v>
      </c>
      <c r="B18">
        <v>31299.901999999998</v>
      </c>
      <c r="C18">
        <v>31300.399000000001</v>
      </c>
      <c r="D18">
        <v>31300.880000000001</v>
      </c>
      <c r="E18">
        <v>31301.269</v>
      </c>
      <c r="G18">
        <f t="shared" si="1"/>
        <v>0.44799999999668216</v>
      </c>
      <c r="H18">
        <f t="shared" si="2"/>
        <v>112.5868799991662</v>
      </c>
      <c r="I18">
        <f t="shared" si="3"/>
        <v>0.4970000000030268</v>
      </c>
      <c r="J18">
        <f t="shared" si="4"/>
        <v>124.90107000076067</v>
      </c>
      <c r="K18">
        <f t="shared" si="5"/>
        <v>0.48099999999976717</v>
      </c>
      <c r="L18">
        <f t="shared" si="6"/>
        <v>120.88010999994148</v>
      </c>
      <c r="M18">
        <f t="shared" si="7"/>
        <v>0.3889999999992142</v>
      </c>
      <c r="N18">
        <f t="shared" si="8"/>
        <v>97.759589999802515</v>
      </c>
      <c r="Q18">
        <v>5942.6059999999998</v>
      </c>
      <c r="R18">
        <v>5943.0680000000002</v>
      </c>
      <c r="S18">
        <v>5943.5780000000004</v>
      </c>
      <c r="T18">
        <v>5944.0479999999998</v>
      </c>
      <c r="U18">
        <v>5944.4440000000004</v>
      </c>
      <c r="W18">
        <f t="shared" si="9"/>
        <v>0.46200000000044383</v>
      </c>
      <c r="X18">
        <f t="shared" si="10"/>
        <v>115.41222000011088</v>
      </c>
      <c r="Y18">
        <f t="shared" si="0"/>
        <v>0.51000000000021828</v>
      </c>
      <c r="Z18">
        <f t="shared" si="11"/>
        <v>127.40310000005454</v>
      </c>
      <c r="AA18">
        <f t="shared" si="12"/>
        <v>0.46999999999934516</v>
      </c>
      <c r="AB18">
        <f t="shared" si="13"/>
        <v>117.41069999983641</v>
      </c>
      <c r="AC18">
        <f t="shared" si="14"/>
        <v>0.39600000000064028</v>
      </c>
      <c r="AD18">
        <f t="shared" si="15"/>
        <v>98.924760000159949</v>
      </c>
    </row>
    <row r="19" spans="1:30" x14ac:dyDescent="0.35">
      <c r="A19">
        <v>31300.543000000001</v>
      </c>
      <c r="B19">
        <v>31300.983</v>
      </c>
      <c r="C19">
        <v>31301.491999999998</v>
      </c>
      <c r="D19">
        <v>31301.972000000002</v>
      </c>
      <c r="E19">
        <v>31302.358</v>
      </c>
      <c r="G19">
        <f t="shared" si="1"/>
        <v>0.43999999999869033</v>
      </c>
      <c r="H19">
        <f t="shared" si="2"/>
        <v>110.57639999967087</v>
      </c>
      <c r="I19">
        <f t="shared" si="3"/>
        <v>0.50899999999819556</v>
      </c>
      <c r="J19">
        <f t="shared" si="4"/>
        <v>127.91678999954652</v>
      </c>
      <c r="K19">
        <f t="shared" si="5"/>
        <v>0.48000000000320142</v>
      </c>
      <c r="L19">
        <f t="shared" si="6"/>
        <v>120.62880000080455</v>
      </c>
      <c r="M19">
        <f t="shared" si="7"/>
        <v>0.38599999999860302</v>
      </c>
      <c r="N19">
        <f t="shared" si="8"/>
        <v>97.005659999648927</v>
      </c>
      <c r="Q19">
        <v>5949.9849999999997</v>
      </c>
      <c r="R19">
        <v>5950.4309999999996</v>
      </c>
      <c r="S19">
        <v>5950.942</v>
      </c>
      <c r="T19">
        <v>5951.4120000000003</v>
      </c>
      <c r="U19">
        <v>5951.8140000000003</v>
      </c>
      <c r="W19">
        <f t="shared" si="9"/>
        <v>0.44599999999991269</v>
      </c>
      <c r="X19">
        <f t="shared" si="10"/>
        <v>111.41525999997819</v>
      </c>
      <c r="Y19">
        <f t="shared" si="0"/>
        <v>0.51100000000042201</v>
      </c>
      <c r="Z19">
        <f t="shared" si="11"/>
        <v>127.65291000010542</v>
      </c>
      <c r="AA19">
        <f t="shared" si="12"/>
        <v>0.47000000000025466</v>
      </c>
      <c r="AB19">
        <f t="shared" si="13"/>
        <v>117.41070000006361</v>
      </c>
      <c r="AC19">
        <f t="shared" si="14"/>
        <v>0.40200000000004366</v>
      </c>
      <c r="AD19">
        <f t="shared" si="15"/>
        <v>100.42362000001091</v>
      </c>
    </row>
    <row r="20" spans="1:30" x14ac:dyDescent="0.35">
      <c r="A20">
        <v>31301.63</v>
      </c>
      <c r="B20">
        <v>31302.080999999998</v>
      </c>
      <c r="C20">
        <v>31302.581999999999</v>
      </c>
      <c r="D20">
        <v>31303.071</v>
      </c>
      <c r="E20">
        <v>31303.451000000001</v>
      </c>
      <c r="G20">
        <f t="shared" si="1"/>
        <v>0.45099999999729334</v>
      </c>
      <c r="H20">
        <f t="shared" si="2"/>
        <v>113.34080999931979</v>
      </c>
      <c r="I20">
        <f t="shared" si="3"/>
        <v>0.50100000000020373</v>
      </c>
      <c r="J20">
        <f t="shared" si="4"/>
        <v>125.90631000005121</v>
      </c>
      <c r="K20">
        <f t="shared" si="5"/>
        <v>0.48900000000139698</v>
      </c>
      <c r="L20">
        <f t="shared" si="6"/>
        <v>122.89059000035108</v>
      </c>
      <c r="M20">
        <f t="shared" si="7"/>
        <v>0.38000000000101863</v>
      </c>
      <c r="N20">
        <f t="shared" si="8"/>
        <v>95.497800000255992</v>
      </c>
      <c r="Q20">
        <v>5956.3609999999999</v>
      </c>
      <c r="R20">
        <v>5956.8149999999996</v>
      </c>
      <c r="S20">
        <v>5957.3239999999996</v>
      </c>
      <c r="T20">
        <v>5957.8040000000001</v>
      </c>
      <c r="U20">
        <v>5958.1930000000002</v>
      </c>
      <c r="W20">
        <f t="shared" si="9"/>
        <v>0.45399999999972351</v>
      </c>
      <c r="X20">
        <f t="shared" si="10"/>
        <v>113.41373999993093</v>
      </c>
      <c r="Y20">
        <f t="shared" si="0"/>
        <v>0.50900000000001455</v>
      </c>
      <c r="Z20">
        <f t="shared" si="11"/>
        <v>127.15329000000364</v>
      </c>
      <c r="AA20">
        <f t="shared" si="12"/>
        <v>0.48000000000047294</v>
      </c>
      <c r="AB20">
        <f t="shared" si="13"/>
        <v>119.90880000011815</v>
      </c>
      <c r="AC20">
        <f t="shared" si="14"/>
        <v>0.38900000000012369</v>
      </c>
      <c r="AD20">
        <f t="shared" si="15"/>
        <v>97.176090000030896</v>
      </c>
    </row>
    <row r="21" spans="1:30" x14ac:dyDescent="0.35">
      <c r="A21">
        <v>31302.719000000001</v>
      </c>
      <c r="B21">
        <v>31303.163</v>
      </c>
      <c r="C21">
        <v>31303.661</v>
      </c>
      <c r="D21">
        <v>31304.143</v>
      </c>
      <c r="E21">
        <v>31304.534</v>
      </c>
      <c r="G21">
        <f t="shared" si="1"/>
        <v>0.44399999999950523</v>
      </c>
      <c r="H21">
        <f t="shared" si="2"/>
        <v>111.58163999987566</v>
      </c>
      <c r="I21">
        <f t="shared" si="3"/>
        <v>0.49799999999959255</v>
      </c>
      <c r="J21">
        <f t="shared" si="4"/>
        <v>125.1523799998976</v>
      </c>
      <c r="K21">
        <f t="shared" si="5"/>
        <v>0.4819999999999709</v>
      </c>
      <c r="L21">
        <f t="shared" si="6"/>
        <v>121.13141999999269</v>
      </c>
      <c r="M21">
        <f t="shared" si="7"/>
        <v>0.39099999999962165</v>
      </c>
      <c r="N21">
        <f t="shared" si="8"/>
        <v>98.262209999904911</v>
      </c>
      <c r="Q21">
        <v>5962.7910000000002</v>
      </c>
      <c r="R21">
        <v>5963.2489999999998</v>
      </c>
      <c r="S21">
        <v>5963.7579999999998</v>
      </c>
      <c r="T21">
        <v>5964.2380000000003</v>
      </c>
      <c r="U21">
        <v>5964.6310000000003</v>
      </c>
      <c r="W21">
        <f t="shared" si="9"/>
        <v>0.45799999999962893</v>
      </c>
      <c r="X21">
        <f t="shared" si="10"/>
        <v>114.41297999990731</v>
      </c>
      <c r="Y21">
        <f t="shared" si="0"/>
        <v>0.50900000000001455</v>
      </c>
      <c r="Z21">
        <f t="shared" si="11"/>
        <v>127.15329000000364</v>
      </c>
      <c r="AA21">
        <f t="shared" si="12"/>
        <v>0.48000000000047294</v>
      </c>
      <c r="AB21">
        <f t="shared" si="13"/>
        <v>119.90880000011815</v>
      </c>
      <c r="AC21">
        <f t="shared" si="14"/>
        <v>0.3930000000000291</v>
      </c>
      <c r="AD21">
        <f t="shared" si="15"/>
        <v>98.175330000007278</v>
      </c>
    </row>
    <row r="22" spans="1:30" x14ac:dyDescent="0.35">
      <c r="A22">
        <v>31303.806</v>
      </c>
      <c r="B22">
        <v>31304.244999999999</v>
      </c>
      <c r="C22">
        <v>31304.753000000001</v>
      </c>
      <c r="D22">
        <v>31305.224999999999</v>
      </c>
      <c r="E22">
        <v>31305.623</v>
      </c>
      <c r="G22">
        <f t="shared" si="1"/>
        <v>0.4389999999984866</v>
      </c>
      <c r="H22">
        <f t="shared" si="2"/>
        <v>110.32508999961966</v>
      </c>
      <c r="I22">
        <f t="shared" si="3"/>
        <v>0.50800000000162981</v>
      </c>
      <c r="J22">
        <f t="shared" si="4"/>
        <v>127.66548000040959</v>
      </c>
      <c r="K22">
        <f t="shared" si="5"/>
        <v>0.47199999999793363</v>
      </c>
      <c r="L22">
        <f t="shared" si="6"/>
        <v>118.6183199994807</v>
      </c>
      <c r="M22">
        <f t="shared" si="7"/>
        <v>0.39800000000104774</v>
      </c>
      <c r="N22">
        <f t="shared" si="8"/>
        <v>100.02138000026331</v>
      </c>
      <c r="Q22">
        <v>5969.16</v>
      </c>
      <c r="R22">
        <v>5969.6130000000003</v>
      </c>
      <c r="S22">
        <v>5970.1220000000003</v>
      </c>
      <c r="T22">
        <v>5970.5910000000003</v>
      </c>
      <c r="U22">
        <v>5970.99</v>
      </c>
      <c r="W22">
        <f t="shared" si="9"/>
        <v>0.45300000000042928</v>
      </c>
      <c r="X22">
        <f t="shared" si="10"/>
        <v>113.16393000010724</v>
      </c>
      <c r="Y22">
        <f t="shared" si="0"/>
        <v>0.50900000000001455</v>
      </c>
      <c r="Z22">
        <f t="shared" si="11"/>
        <v>127.15329000000364</v>
      </c>
      <c r="AA22">
        <f t="shared" si="12"/>
        <v>0.46900000000005093</v>
      </c>
      <c r="AB22">
        <f t="shared" si="13"/>
        <v>117.16089000001273</v>
      </c>
      <c r="AC22">
        <f t="shared" si="14"/>
        <v>0.39899999999943248</v>
      </c>
      <c r="AD22">
        <f t="shared" si="15"/>
        <v>99.674189999858228</v>
      </c>
    </row>
    <row r="23" spans="1:30" x14ac:dyDescent="0.35">
      <c r="A23">
        <v>31304.896000000001</v>
      </c>
      <c r="B23">
        <v>31305.374</v>
      </c>
      <c r="C23">
        <v>31305.844000000001</v>
      </c>
      <c r="D23">
        <v>31306.323</v>
      </c>
      <c r="E23">
        <v>31306.718000000001</v>
      </c>
      <c r="G23">
        <f t="shared" si="1"/>
        <v>0.47799999999915599</v>
      </c>
      <c r="H23">
        <f t="shared" si="2"/>
        <v>120.12617999978789</v>
      </c>
      <c r="I23">
        <f t="shared" si="3"/>
        <v>0.47000000000116415</v>
      </c>
      <c r="J23">
        <f t="shared" si="4"/>
        <v>118.11570000029256</v>
      </c>
      <c r="K23">
        <f t="shared" si="5"/>
        <v>0.47899999999935972</v>
      </c>
      <c r="L23">
        <f t="shared" si="6"/>
        <v>120.37748999983909</v>
      </c>
      <c r="M23">
        <f t="shared" si="7"/>
        <v>0.39500000000043656</v>
      </c>
      <c r="N23">
        <f t="shared" si="8"/>
        <v>99.267450000109719</v>
      </c>
      <c r="Q23">
        <v>5975.5959999999995</v>
      </c>
      <c r="R23">
        <v>5976.058</v>
      </c>
      <c r="S23">
        <v>5976.5569999999998</v>
      </c>
      <c r="T23">
        <v>5977.0360000000001</v>
      </c>
      <c r="U23">
        <v>5977.4350000000004</v>
      </c>
      <c r="W23">
        <f t="shared" si="9"/>
        <v>0.46200000000044383</v>
      </c>
      <c r="X23">
        <f t="shared" si="10"/>
        <v>115.41222000011088</v>
      </c>
      <c r="Y23">
        <f t="shared" si="0"/>
        <v>0.49899999999979627</v>
      </c>
      <c r="Z23">
        <f t="shared" si="11"/>
        <v>124.6551899999491</v>
      </c>
      <c r="AA23">
        <f t="shared" si="12"/>
        <v>0.47900000000026921</v>
      </c>
      <c r="AB23">
        <f t="shared" si="13"/>
        <v>119.65899000006725</v>
      </c>
      <c r="AC23">
        <f t="shared" si="14"/>
        <v>0.39900000000034197</v>
      </c>
      <c r="AD23">
        <f t="shared" si="15"/>
        <v>99.674190000085432</v>
      </c>
    </row>
    <row r="24" spans="1:30" x14ac:dyDescent="0.35">
      <c r="A24">
        <v>31305.984</v>
      </c>
      <c r="B24">
        <v>31306.454000000002</v>
      </c>
      <c r="C24">
        <v>31306.934000000001</v>
      </c>
      <c r="D24">
        <v>31307.415000000001</v>
      </c>
      <c r="E24">
        <v>31307.802</v>
      </c>
      <c r="G24">
        <f t="shared" si="1"/>
        <v>0.47000000000116415</v>
      </c>
      <c r="H24">
        <f t="shared" si="2"/>
        <v>118.11570000029256</v>
      </c>
      <c r="I24">
        <f t="shared" si="3"/>
        <v>0.47999999999956344</v>
      </c>
      <c r="J24">
        <f t="shared" si="4"/>
        <v>120.62879999989029</v>
      </c>
      <c r="K24">
        <f t="shared" si="5"/>
        <v>0.48099999999976717</v>
      </c>
      <c r="L24">
        <f t="shared" si="6"/>
        <v>120.88010999994148</v>
      </c>
      <c r="M24">
        <f t="shared" si="7"/>
        <v>0.38699999999880674</v>
      </c>
      <c r="N24">
        <f t="shared" si="8"/>
        <v>97.256969999700118</v>
      </c>
      <c r="Q24">
        <v>5982.924</v>
      </c>
      <c r="R24">
        <v>5983.3810000000003</v>
      </c>
      <c r="S24">
        <v>5983.89</v>
      </c>
      <c r="T24">
        <v>5984.3620000000001</v>
      </c>
      <c r="U24">
        <v>5984.7579999999998</v>
      </c>
      <c r="W24">
        <f t="shared" si="9"/>
        <v>0.45700000000033469</v>
      </c>
      <c r="X24">
        <f t="shared" si="10"/>
        <v>114.16317000008361</v>
      </c>
      <c r="Y24">
        <f t="shared" si="0"/>
        <v>0.50900000000001455</v>
      </c>
      <c r="Z24">
        <f t="shared" si="11"/>
        <v>127.15329000000364</v>
      </c>
      <c r="AA24">
        <f t="shared" si="12"/>
        <v>0.47199999999975262</v>
      </c>
      <c r="AB24">
        <f t="shared" si="13"/>
        <v>117.9103199999382</v>
      </c>
      <c r="AC24">
        <f t="shared" si="14"/>
        <v>0.39599999999973079</v>
      </c>
      <c r="AD24">
        <f t="shared" si="15"/>
        <v>98.924759999932746</v>
      </c>
    </row>
    <row r="25" spans="1:30" x14ac:dyDescent="0.35">
      <c r="A25">
        <v>31307.073</v>
      </c>
      <c r="B25">
        <v>31307.518</v>
      </c>
      <c r="C25">
        <v>31308.014999999999</v>
      </c>
      <c r="D25">
        <v>31308.496999999999</v>
      </c>
      <c r="E25">
        <v>31308.885999999999</v>
      </c>
      <c r="G25">
        <f t="shared" si="1"/>
        <v>0.44499999999970896</v>
      </c>
      <c r="H25">
        <f t="shared" si="2"/>
        <v>111.83294999992685</v>
      </c>
      <c r="I25">
        <f t="shared" si="3"/>
        <v>0.49699999999938882</v>
      </c>
      <c r="J25">
        <f t="shared" si="4"/>
        <v>124.9010699998464</v>
      </c>
      <c r="K25">
        <f t="shared" si="5"/>
        <v>0.4819999999999709</v>
      </c>
      <c r="L25">
        <f t="shared" si="6"/>
        <v>121.13141999999269</v>
      </c>
      <c r="M25">
        <f t="shared" si="7"/>
        <v>0.3889999999992142</v>
      </c>
      <c r="N25">
        <f t="shared" si="8"/>
        <v>97.759589999802515</v>
      </c>
      <c r="Q25">
        <v>5989.3509999999997</v>
      </c>
      <c r="R25">
        <v>5989.8040000000001</v>
      </c>
      <c r="S25">
        <v>5990.3050000000003</v>
      </c>
      <c r="T25">
        <v>5990.7839999999997</v>
      </c>
      <c r="U25">
        <v>5991.1760000000004</v>
      </c>
      <c r="W25">
        <f t="shared" si="9"/>
        <v>0.45300000000042928</v>
      </c>
      <c r="X25">
        <f t="shared" si="10"/>
        <v>113.16393000010724</v>
      </c>
      <c r="Y25">
        <f t="shared" si="0"/>
        <v>0.50100000000020373</v>
      </c>
      <c r="Z25">
        <f t="shared" si="11"/>
        <v>125.1548100000509</v>
      </c>
      <c r="AA25">
        <f t="shared" si="12"/>
        <v>0.47899999999935972</v>
      </c>
      <c r="AB25">
        <f t="shared" si="13"/>
        <v>119.65898999984005</v>
      </c>
      <c r="AC25">
        <f t="shared" si="14"/>
        <v>0.39200000000073487</v>
      </c>
      <c r="AD25">
        <f t="shared" si="15"/>
        <v>97.925520000183582</v>
      </c>
    </row>
    <row r="26" spans="1:30" x14ac:dyDescent="0.35">
      <c r="A26">
        <v>31308.163</v>
      </c>
      <c r="B26">
        <v>31308.608</v>
      </c>
      <c r="C26">
        <v>31309.107</v>
      </c>
      <c r="D26">
        <v>31309.578000000001</v>
      </c>
      <c r="E26">
        <v>31309.972000000002</v>
      </c>
      <c r="G26">
        <f t="shared" si="1"/>
        <v>0.44499999999970896</v>
      </c>
      <c r="H26">
        <f t="shared" si="2"/>
        <v>111.83294999992685</v>
      </c>
      <c r="I26">
        <f t="shared" si="3"/>
        <v>0.49899999999979627</v>
      </c>
      <c r="J26">
        <f t="shared" si="4"/>
        <v>125.4036899999488</v>
      </c>
      <c r="K26">
        <f t="shared" si="5"/>
        <v>0.47100000000136788</v>
      </c>
      <c r="L26">
        <f t="shared" si="6"/>
        <v>118.36701000034377</v>
      </c>
      <c r="M26">
        <f t="shared" si="7"/>
        <v>0.39400000000023283</v>
      </c>
      <c r="N26">
        <f t="shared" si="8"/>
        <v>99.016140000058513</v>
      </c>
      <c r="Q26">
        <v>5995.74</v>
      </c>
      <c r="R26">
        <v>5996.1970000000001</v>
      </c>
      <c r="S26">
        <v>5996.6970000000001</v>
      </c>
      <c r="T26">
        <v>5997.1769999999997</v>
      </c>
      <c r="U26">
        <v>5997.5749999999998</v>
      </c>
      <c r="W26">
        <f t="shared" si="9"/>
        <v>0.45700000000033469</v>
      </c>
      <c r="X26">
        <f t="shared" si="10"/>
        <v>114.16317000008361</v>
      </c>
      <c r="Y26">
        <f t="shared" si="0"/>
        <v>0.5</v>
      </c>
      <c r="Z26">
        <f t="shared" si="11"/>
        <v>124.905</v>
      </c>
      <c r="AA26">
        <f t="shared" si="12"/>
        <v>0.47999999999956344</v>
      </c>
      <c r="AB26">
        <f t="shared" si="13"/>
        <v>119.90879999989095</v>
      </c>
      <c r="AC26">
        <f t="shared" si="14"/>
        <v>0.39800000000013824</v>
      </c>
      <c r="AD26">
        <f t="shared" si="15"/>
        <v>99.424380000034532</v>
      </c>
    </row>
    <row r="27" spans="1:30" x14ac:dyDescent="0.35">
      <c r="A27">
        <v>31309.248</v>
      </c>
      <c r="B27">
        <v>31309.699000000001</v>
      </c>
      <c r="C27">
        <v>31310.198</v>
      </c>
      <c r="D27">
        <v>31310.678</v>
      </c>
      <c r="E27">
        <v>31311.069</v>
      </c>
      <c r="G27">
        <f t="shared" si="1"/>
        <v>0.45100000000093132</v>
      </c>
      <c r="H27">
        <f t="shared" si="2"/>
        <v>113.34081000023406</v>
      </c>
      <c r="I27">
        <f t="shared" si="3"/>
        <v>0.49899999999979627</v>
      </c>
      <c r="J27">
        <f t="shared" si="4"/>
        <v>125.4036899999488</v>
      </c>
      <c r="K27">
        <f t="shared" si="5"/>
        <v>0.47999999999956344</v>
      </c>
      <c r="L27">
        <f t="shared" si="6"/>
        <v>120.62879999989029</v>
      </c>
      <c r="M27">
        <f t="shared" si="7"/>
        <v>0.39099999999962165</v>
      </c>
      <c r="N27">
        <f t="shared" si="8"/>
        <v>98.262209999904911</v>
      </c>
      <c r="Q27">
        <v>6002.1660000000002</v>
      </c>
      <c r="R27">
        <v>6002.6210000000001</v>
      </c>
      <c r="S27">
        <v>6003.1319999999996</v>
      </c>
      <c r="T27">
        <v>6003.6009999999997</v>
      </c>
      <c r="U27">
        <v>6003.9970000000003</v>
      </c>
      <c r="W27">
        <f t="shared" si="9"/>
        <v>0.45499999999992724</v>
      </c>
      <c r="X27">
        <f t="shared" si="10"/>
        <v>113.66354999998183</v>
      </c>
      <c r="Y27">
        <f t="shared" si="0"/>
        <v>0.51099999999951251</v>
      </c>
      <c r="Z27">
        <f t="shared" si="11"/>
        <v>127.65290999987822</v>
      </c>
      <c r="AA27">
        <f t="shared" si="12"/>
        <v>0.46900000000005093</v>
      </c>
      <c r="AB27">
        <f t="shared" si="13"/>
        <v>117.16089000001273</v>
      </c>
      <c r="AC27">
        <f t="shared" si="14"/>
        <v>0.39600000000064028</v>
      </c>
      <c r="AD27">
        <f t="shared" si="15"/>
        <v>98.924760000159949</v>
      </c>
    </row>
    <row r="28" spans="1:30" x14ac:dyDescent="0.35">
      <c r="A28">
        <v>31310.335999999999</v>
      </c>
      <c r="B28">
        <v>31310.809000000001</v>
      </c>
      <c r="C28">
        <v>31311.309000000001</v>
      </c>
      <c r="D28">
        <v>31311.797999999999</v>
      </c>
      <c r="E28">
        <v>31312.179</v>
      </c>
      <c r="G28">
        <f t="shared" si="1"/>
        <v>0.47300000000177533</v>
      </c>
      <c r="H28">
        <f t="shared" si="2"/>
        <v>118.86963000044616</v>
      </c>
      <c r="I28">
        <f t="shared" si="3"/>
        <v>0.5</v>
      </c>
      <c r="J28">
        <f t="shared" si="4"/>
        <v>125.655</v>
      </c>
      <c r="K28">
        <f t="shared" si="5"/>
        <v>0.48899999999775901</v>
      </c>
      <c r="L28">
        <f t="shared" si="6"/>
        <v>122.89058999943681</v>
      </c>
      <c r="M28">
        <f t="shared" si="7"/>
        <v>0.38100000000122236</v>
      </c>
      <c r="N28">
        <f t="shared" si="8"/>
        <v>95.749110000307198</v>
      </c>
      <c r="Q28">
        <v>6008.5529999999999</v>
      </c>
      <c r="R28">
        <v>6009.0069999999996</v>
      </c>
      <c r="S28">
        <v>6009.5159999999996</v>
      </c>
      <c r="T28">
        <v>6009.9870000000001</v>
      </c>
      <c r="U28">
        <v>6010.3850000000002</v>
      </c>
      <c r="W28">
        <f t="shared" si="9"/>
        <v>0.45399999999972351</v>
      </c>
      <c r="X28">
        <f t="shared" si="10"/>
        <v>113.41373999993093</v>
      </c>
      <c r="Y28">
        <f t="shared" si="0"/>
        <v>0.50900000000001455</v>
      </c>
      <c r="Z28">
        <f t="shared" si="11"/>
        <v>127.15329000000364</v>
      </c>
      <c r="AA28">
        <f t="shared" si="12"/>
        <v>0.47100000000045839</v>
      </c>
      <c r="AB28">
        <f t="shared" si="13"/>
        <v>117.66051000011451</v>
      </c>
      <c r="AC28">
        <f t="shared" si="14"/>
        <v>0.39800000000013824</v>
      </c>
      <c r="AD28">
        <f t="shared" si="15"/>
        <v>99.424380000034532</v>
      </c>
    </row>
    <row r="29" spans="1:30" x14ac:dyDescent="0.35">
      <c r="A29">
        <v>31311.424999999999</v>
      </c>
      <c r="B29">
        <v>31311.870999999999</v>
      </c>
      <c r="C29">
        <v>31312.37</v>
      </c>
      <c r="D29">
        <v>31312.85</v>
      </c>
      <c r="E29">
        <v>31313.238000000001</v>
      </c>
      <c r="G29">
        <f t="shared" si="1"/>
        <v>0.44599999999991269</v>
      </c>
      <c r="H29">
        <f t="shared" si="2"/>
        <v>112.08425999997806</v>
      </c>
      <c r="I29">
        <f t="shared" si="3"/>
        <v>0.49899999999979627</v>
      </c>
      <c r="J29">
        <f t="shared" si="4"/>
        <v>125.4036899999488</v>
      </c>
      <c r="K29">
        <f t="shared" si="5"/>
        <v>0.47999999999956344</v>
      </c>
      <c r="L29">
        <f t="shared" si="6"/>
        <v>120.62879999989029</v>
      </c>
      <c r="M29">
        <f t="shared" si="7"/>
        <v>0.38800000000264845</v>
      </c>
      <c r="N29">
        <f t="shared" si="8"/>
        <v>97.508280000665579</v>
      </c>
      <c r="Q29">
        <v>6015.8810000000003</v>
      </c>
      <c r="R29">
        <v>6016.3289999999997</v>
      </c>
      <c r="S29">
        <v>6016.8389999999999</v>
      </c>
      <c r="T29">
        <v>6017.3090000000002</v>
      </c>
      <c r="U29">
        <v>6017.71</v>
      </c>
      <c r="W29">
        <f t="shared" si="9"/>
        <v>0.44799999999941065</v>
      </c>
      <c r="X29">
        <f t="shared" si="10"/>
        <v>111.91487999985277</v>
      </c>
      <c r="Y29">
        <f t="shared" si="0"/>
        <v>0.51000000000021828</v>
      </c>
      <c r="Z29">
        <f t="shared" si="11"/>
        <v>127.40310000005454</v>
      </c>
      <c r="AA29">
        <f t="shared" si="12"/>
        <v>0.47000000000025466</v>
      </c>
      <c r="AB29">
        <f t="shared" si="13"/>
        <v>117.41070000006361</v>
      </c>
      <c r="AC29">
        <f t="shared" si="14"/>
        <v>0.40099999999983993</v>
      </c>
      <c r="AD29">
        <f t="shared" si="15"/>
        <v>100.17380999996001</v>
      </c>
    </row>
    <row r="30" spans="1:30" x14ac:dyDescent="0.35">
      <c r="A30">
        <v>31312.512999999999</v>
      </c>
      <c r="B30">
        <v>31312.951000000001</v>
      </c>
      <c r="C30">
        <v>31313.46</v>
      </c>
      <c r="D30">
        <v>31313.93</v>
      </c>
      <c r="E30">
        <v>31314.333999999999</v>
      </c>
      <c r="G30">
        <f t="shared" si="1"/>
        <v>0.43800000000192085</v>
      </c>
      <c r="H30">
        <f t="shared" si="2"/>
        <v>110.07378000048273</v>
      </c>
      <c r="I30">
        <f t="shared" si="3"/>
        <v>0.50899999999819556</v>
      </c>
      <c r="J30">
        <f t="shared" si="4"/>
        <v>127.91678999954652</v>
      </c>
      <c r="K30">
        <f t="shared" si="5"/>
        <v>0.47000000000116415</v>
      </c>
      <c r="L30">
        <f t="shared" si="6"/>
        <v>118.11570000029256</v>
      </c>
      <c r="M30">
        <f t="shared" si="7"/>
        <v>0.40399999999863212</v>
      </c>
      <c r="N30">
        <f t="shared" si="8"/>
        <v>101.52923999965624</v>
      </c>
      <c r="Q30">
        <v>6022.2790000000005</v>
      </c>
      <c r="R30">
        <v>6022.7309999999998</v>
      </c>
      <c r="S30">
        <v>6023.241</v>
      </c>
      <c r="T30">
        <v>6023.7209999999995</v>
      </c>
      <c r="U30">
        <v>6024.11</v>
      </c>
      <c r="W30">
        <f t="shared" si="9"/>
        <v>0.45199999999931606</v>
      </c>
      <c r="X30">
        <f t="shared" si="10"/>
        <v>112.91411999982914</v>
      </c>
      <c r="Y30">
        <f t="shared" si="0"/>
        <v>0.51000000000021828</v>
      </c>
      <c r="Z30">
        <f t="shared" si="11"/>
        <v>127.40310000005454</v>
      </c>
      <c r="AA30">
        <f t="shared" si="12"/>
        <v>0.47999999999956344</v>
      </c>
      <c r="AB30">
        <f t="shared" si="13"/>
        <v>119.90879999989095</v>
      </c>
      <c r="AC30">
        <f t="shared" si="14"/>
        <v>0.38900000000012369</v>
      </c>
      <c r="AD30">
        <f t="shared" si="15"/>
        <v>97.176090000030896</v>
      </c>
    </row>
    <row r="31" spans="1:30" x14ac:dyDescent="0.35">
      <c r="A31">
        <v>31313.602999999999</v>
      </c>
      <c r="B31">
        <v>31314.061000000002</v>
      </c>
      <c r="C31">
        <v>31314.55</v>
      </c>
      <c r="D31">
        <v>31315.031999999999</v>
      </c>
      <c r="E31">
        <v>31315.416000000001</v>
      </c>
      <c r="G31">
        <f t="shared" si="1"/>
        <v>0.45800000000235741</v>
      </c>
      <c r="H31">
        <f t="shared" si="2"/>
        <v>115.09998000059244</v>
      </c>
      <c r="I31">
        <f t="shared" si="3"/>
        <v>0.48899999999775901</v>
      </c>
      <c r="J31">
        <f t="shared" si="4"/>
        <v>122.89058999943681</v>
      </c>
      <c r="K31">
        <f t="shared" si="5"/>
        <v>0.4819999999999709</v>
      </c>
      <c r="L31">
        <f t="shared" si="6"/>
        <v>121.13141999999269</v>
      </c>
      <c r="M31">
        <f t="shared" si="7"/>
        <v>0.38400000000183354</v>
      </c>
      <c r="N31">
        <f t="shared" si="8"/>
        <v>96.503040000460786</v>
      </c>
      <c r="Q31">
        <v>6028.652</v>
      </c>
      <c r="R31">
        <v>6029.1059999999998</v>
      </c>
      <c r="S31">
        <v>6029.6059999999998</v>
      </c>
      <c r="T31">
        <v>6030.0870000000004</v>
      </c>
      <c r="U31">
        <v>6030.4759999999997</v>
      </c>
      <c r="W31">
        <f t="shared" si="9"/>
        <v>0.45399999999972351</v>
      </c>
      <c r="X31">
        <f t="shared" si="10"/>
        <v>113.41373999993093</v>
      </c>
      <c r="Y31">
        <f t="shared" si="0"/>
        <v>0.5</v>
      </c>
      <c r="Z31">
        <f t="shared" si="11"/>
        <v>124.905</v>
      </c>
      <c r="AA31">
        <f t="shared" si="12"/>
        <v>0.48100000000067666</v>
      </c>
      <c r="AB31">
        <f t="shared" si="13"/>
        <v>120.15861000016903</v>
      </c>
      <c r="AC31">
        <f t="shared" si="14"/>
        <v>0.3889999999992142</v>
      </c>
      <c r="AD31">
        <f t="shared" si="15"/>
        <v>97.176089999803693</v>
      </c>
    </row>
    <row r="32" spans="1:30" x14ac:dyDescent="0.35">
      <c r="A32">
        <v>31314.69</v>
      </c>
      <c r="B32">
        <v>31315.151000000002</v>
      </c>
      <c r="C32">
        <v>31315.643</v>
      </c>
      <c r="D32">
        <v>31316.131000000001</v>
      </c>
      <c r="E32">
        <v>31316.511999999999</v>
      </c>
      <c r="G32">
        <f t="shared" si="1"/>
        <v>0.46100000000296859</v>
      </c>
      <c r="H32">
        <f t="shared" si="2"/>
        <v>115.85391000074604</v>
      </c>
      <c r="I32">
        <f t="shared" si="3"/>
        <v>0.49199999999837019</v>
      </c>
      <c r="J32">
        <f t="shared" si="4"/>
        <v>123.64451999959041</v>
      </c>
      <c r="K32">
        <f t="shared" si="5"/>
        <v>0.48800000000119326</v>
      </c>
      <c r="L32">
        <f t="shared" si="6"/>
        <v>122.63928000029988</v>
      </c>
      <c r="M32">
        <f t="shared" si="7"/>
        <v>0.38099999999758438</v>
      </c>
      <c r="N32">
        <f t="shared" si="8"/>
        <v>95.749109999392928</v>
      </c>
      <c r="Q32">
        <v>6035.0889999999999</v>
      </c>
      <c r="R32">
        <v>6035.5410000000002</v>
      </c>
      <c r="S32">
        <v>6036.0519999999997</v>
      </c>
      <c r="T32">
        <v>6036.5209999999997</v>
      </c>
      <c r="U32">
        <v>6036.9179999999997</v>
      </c>
      <c r="W32">
        <f t="shared" si="9"/>
        <v>0.45200000000022555</v>
      </c>
      <c r="X32">
        <f t="shared" si="10"/>
        <v>112.91412000005634</v>
      </c>
      <c r="Y32">
        <f t="shared" si="0"/>
        <v>0.51099999999951251</v>
      </c>
      <c r="Z32">
        <f t="shared" si="11"/>
        <v>127.65290999987822</v>
      </c>
      <c r="AA32">
        <f t="shared" si="12"/>
        <v>0.46900000000005093</v>
      </c>
      <c r="AB32">
        <f t="shared" si="13"/>
        <v>117.16089000001273</v>
      </c>
      <c r="AC32">
        <f t="shared" si="14"/>
        <v>0.39699999999993452</v>
      </c>
      <c r="AD32">
        <f t="shared" si="15"/>
        <v>99.174569999983646</v>
      </c>
    </row>
    <row r="33" spans="1:30" x14ac:dyDescent="0.35">
      <c r="A33">
        <v>31315.776999999998</v>
      </c>
      <c r="B33">
        <v>31316.222000000002</v>
      </c>
      <c r="C33">
        <v>31316.733</v>
      </c>
      <c r="D33">
        <v>31317.203000000001</v>
      </c>
      <c r="E33">
        <v>31317.588</v>
      </c>
      <c r="G33">
        <f t="shared" si="1"/>
        <v>0.44500000000334694</v>
      </c>
      <c r="H33">
        <f t="shared" si="2"/>
        <v>111.83295000084112</v>
      </c>
      <c r="I33">
        <f t="shared" si="3"/>
        <v>0.51099999999860302</v>
      </c>
      <c r="J33">
        <f t="shared" si="4"/>
        <v>128.41940999964893</v>
      </c>
      <c r="K33">
        <f t="shared" si="5"/>
        <v>0.47000000000116415</v>
      </c>
      <c r="L33">
        <f t="shared" si="6"/>
        <v>118.11570000029256</v>
      </c>
      <c r="M33">
        <f t="shared" si="7"/>
        <v>0.38499999999839929</v>
      </c>
      <c r="N33">
        <f t="shared" si="8"/>
        <v>96.754349999597721</v>
      </c>
      <c r="Q33">
        <v>6041.4709999999995</v>
      </c>
      <c r="R33">
        <v>6041.9269999999997</v>
      </c>
      <c r="S33">
        <v>6042.4369999999999</v>
      </c>
      <c r="T33">
        <v>6042.9049999999997</v>
      </c>
      <c r="U33">
        <v>6043.3040000000001</v>
      </c>
      <c r="W33">
        <f t="shared" si="9"/>
        <v>0.45600000000013097</v>
      </c>
      <c r="X33">
        <f t="shared" si="10"/>
        <v>113.91336000003272</v>
      </c>
      <c r="Y33">
        <f t="shared" si="0"/>
        <v>0.51000000000021828</v>
      </c>
      <c r="Z33">
        <f t="shared" si="11"/>
        <v>127.40310000005454</v>
      </c>
      <c r="AA33">
        <f t="shared" si="12"/>
        <v>0.4679999999998472</v>
      </c>
      <c r="AB33">
        <f t="shared" si="13"/>
        <v>116.91107999996183</v>
      </c>
      <c r="AC33">
        <f t="shared" si="14"/>
        <v>0.39900000000034197</v>
      </c>
      <c r="AD33">
        <f t="shared" si="15"/>
        <v>99.674190000085432</v>
      </c>
    </row>
    <row r="34" spans="1:30" x14ac:dyDescent="0.35">
      <c r="A34">
        <v>31316.865000000002</v>
      </c>
      <c r="B34">
        <v>31317.313999999998</v>
      </c>
      <c r="C34">
        <v>31317.812999999998</v>
      </c>
      <c r="D34">
        <v>31318.294000000002</v>
      </c>
      <c r="E34">
        <v>31318.685000000001</v>
      </c>
      <c r="G34">
        <f t="shared" si="1"/>
        <v>0.44899999999688589</v>
      </c>
      <c r="H34">
        <f t="shared" si="2"/>
        <v>112.83818999921739</v>
      </c>
      <c r="I34">
        <f t="shared" si="3"/>
        <v>0.49899999999979627</v>
      </c>
      <c r="J34">
        <f t="shared" si="4"/>
        <v>125.4036899999488</v>
      </c>
      <c r="K34">
        <f t="shared" si="5"/>
        <v>0.48100000000340515</v>
      </c>
      <c r="L34">
        <f t="shared" si="6"/>
        <v>120.88011000085575</v>
      </c>
      <c r="M34">
        <f t="shared" si="7"/>
        <v>0.39099999999962165</v>
      </c>
      <c r="N34">
        <f t="shared" si="8"/>
        <v>98.262209999904911</v>
      </c>
      <c r="Q34">
        <v>6048.8440000000001</v>
      </c>
      <c r="R34">
        <v>6049.299</v>
      </c>
      <c r="S34">
        <v>6049.8090000000002</v>
      </c>
      <c r="T34">
        <v>6050.28</v>
      </c>
      <c r="U34">
        <v>6050.6729999999998</v>
      </c>
      <c r="W34">
        <f t="shared" si="9"/>
        <v>0.45499999999992724</v>
      </c>
      <c r="X34">
        <f t="shared" si="10"/>
        <v>113.66354999998183</v>
      </c>
      <c r="Y34">
        <f t="shared" si="0"/>
        <v>0.51000000000021828</v>
      </c>
      <c r="Z34">
        <f t="shared" si="11"/>
        <v>127.40310000005454</v>
      </c>
      <c r="AA34">
        <f t="shared" si="12"/>
        <v>0.47099999999954889</v>
      </c>
      <c r="AB34">
        <f t="shared" si="13"/>
        <v>117.66050999988731</v>
      </c>
      <c r="AC34">
        <f t="shared" si="14"/>
        <v>0.3930000000000291</v>
      </c>
      <c r="AD34">
        <f t="shared" si="15"/>
        <v>98.175330000007278</v>
      </c>
    </row>
    <row r="35" spans="1:30" x14ac:dyDescent="0.35">
      <c r="A35">
        <v>31317.954000000002</v>
      </c>
      <c r="B35">
        <v>31318.404999999999</v>
      </c>
      <c r="C35">
        <v>31318.903999999999</v>
      </c>
      <c r="D35">
        <v>31319.396000000001</v>
      </c>
      <c r="E35">
        <v>31319.77</v>
      </c>
      <c r="G35">
        <f t="shared" si="1"/>
        <v>0.45099999999729334</v>
      </c>
      <c r="H35">
        <f t="shared" si="2"/>
        <v>113.34080999931979</v>
      </c>
      <c r="I35">
        <f t="shared" si="3"/>
        <v>0.49899999999979627</v>
      </c>
      <c r="J35">
        <f t="shared" si="4"/>
        <v>125.4036899999488</v>
      </c>
      <c r="K35">
        <f t="shared" si="5"/>
        <v>0.49200000000200816</v>
      </c>
      <c r="L35">
        <f t="shared" si="6"/>
        <v>123.64452000050467</v>
      </c>
      <c r="M35">
        <f t="shared" si="7"/>
        <v>0.37399999999979627</v>
      </c>
      <c r="N35">
        <f t="shared" si="8"/>
        <v>93.989939999948803</v>
      </c>
      <c r="Q35">
        <v>6055.2359999999999</v>
      </c>
      <c r="R35">
        <v>6055.6819999999998</v>
      </c>
      <c r="S35">
        <v>6056.1909999999998</v>
      </c>
      <c r="T35">
        <v>6056.6710000000003</v>
      </c>
      <c r="U35">
        <v>6057.067</v>
      </c>
      <c r="W35">
        <f t="shared" si="9"/>
        <v>0.44599999999991269</v>
      </c>
      <c r="X35">
        <f t="shared" si="10"/>
        <v>111.41525999997819</v>
      </c>
      <c r="Y35">
        <f t="shared" ref="Y35:Y66" si="16">S35-R35</f>
        <v>0.50900000000001455</v>
      </c>
      <c r="Z35">
        <f t="shared" si="11"/>
        <v>127.15329000000364</v>
      </c>
      <c r="AA35">
        <f t="shared" si="12"/>
        <v>0.48000000000047294</v>
      </c>
      <c r="AB35">
        <f t="shared" si="13"/>
        <v>119.90880000011815</v>
      </c>
      <c r="AC35">
        <f t="shared" si="14"/>
        <v>0.39599999999973079</v>
      </c>
      <c r="AD35">
        <f t="shared" si="15"/>
        <v>98.924759999932746</v>
      </c>
    </row>
    <row r="36" spans="1:30" x14ac:dyDescent="0.35">
      <c r="A36">
        <v>31319.043000000001</v>
      </c>
      <c r="B36">
        <v>31319.487000000001</v>
      </c>
      <c r="C36">
        <v>31319.986000000001</v>
      </c>
      <c r="D36">
        <v>31320.456999999999</v>
      </c>
      <c r="E36">
        <v>31320.852999999999</v>
      </c>
      <c r="G36">
        <f t="shared" si="1"/>
        <v>0.44399999999950523</v>
      </c>
      <c r="H36">
        <f t="shared" si="2"/>
        <v>111.58163999987566</v>
      </c>
      <c r="I36">
        <f t="shared" si="3"/>
        <v>0.49899999999979627</v>
      </c>
      <c r="J36">
        <f t="shared" si="4"/>
        <v>125.4036899999488</v>
      </c>
      <c r="K36">
        <f t="shared" si="5"/>
        <v>0.4709999999977299</v>
      </c>
      <c r="L36">
        <f t="shared" si="6"/>
        <v>118.3670099994295</v>
      </c>
      <c r="M36">
        <f t="shared" si="7"/>
        <v>0.39600000000064028</v>
      </c>
      <c r="N36">
        <f t="shared" si="8"/>
        <v>99.51876000016091</v>
      </c>
      <c r="Q36">
        <v>6061.6729999999998</v>
      </c>
      <c r="R36">
        <v>6062.116</v>
      </c>
      <c r="S36">
        <v>6062.6270000000004</v>
      </c>
      <c r="T36">
        <v>6063.107</v>
      </c>
      <c r="U36">
        <v>6063.5029999999997</v>
      </c>
      <c r="W36">
        <f t="shared" si="9"/>
        <v>0.443000000000211</v>
      </c>
      <c r="X36">
        <f t="shared" si="10"/>
        <v>110.66583000005271</v>
      </c>
      <c r="Y36">
        <f t="shared" si="16"/>
        <v>0.51100000000042201</v>
      </c>
      <c r="Z36">
        <f t="shared" si="11"/>
        <v>127.65291000010542</v>
      </c>
      <c r="AA36">
        <f t="shared" si="12"/>
        <v>0.47999999999956344</v>
      </c>
      <c r="AB36">
        <f t="shared" si="13"/>
        <v>119.90879999989095</v>
      </c>
      <c r="AC36">
        <f t="shared" si="14"/>
        <v>0.39599999999973079</v>
      </c>
      <c r="AD36">
        <f t="shared" si="15"/>
        <v>98.924759999932746</v>
      </c>
    </row>
    <row r="37" spans="1:30" x14ac:dyDescent="0.35">
      <c r="A37">
        <v>31320.13</v>
      </c>
      <c r="B37">
        <v>31320.566999999999</v>
      </c>
      <c r="C37">
        <v>31321.077000000001</v>
      </c>
      <c r="D37">
        <v>31321.544999999998</v>
      </c>
      <c r="E37">
        <v>31321.94</v>
      </c>
      <c r="G37">
        <f t="shared" si="1"/>
        <v>0.43699999999807915</v>
      </c>
      <c r="H37">
        <f t="shared" si="2"/>
        <v>109.82246999951727</v>
      </c>
      <c r="I37">
        <f t="shared" si="3"/>
        <v>0.51000000000203727</v>
      </c>
      <c r="J37">
        <f t="shared" si="4"/>
        <v>128.168100000512</v>
      </c>
      <c r="K37">
        <f t="shared" si="5"/>
        <v>0.46799999999711872</v>
      </c>
      <c r="L37">
        <f t="shared" si="6"/>
        <v>117.61307999927591</v>
      </c>
      <c r="M37">
        <f t="shared" si="7"/>
        <v>0.39500000000043656</v>
      </c>
      <c r="N37">
        <f t="shared" si="8"/>
        <v>99.267450000109719</v>
      </c>
      <c r="Q37">
        <v>6068.067</v>
      </c>
      <c r="R37">
        <v>6068.52</v>
      </c>
      <c r="S37">
        <v>6069.02</v>
      </c>
      <c r="T37">
        <v>6069.5</v>
      </c>
      <c r="U37">
        <v>6069.8919999999998</v>
      </c>
      <c r="W37">
        <f t="shared" si="9"/>
        <v>0.45300000000042928</v>
      </c>
      <c r="X37">
        <f t="shared" si="10"/>
        <v>113.16393000010724</v>
      </c>
      <c r="Y37">
        <f t="shared" si="16"/>
        <v>0.5</v>
      </c>
      <c r="Z37">
        <f t="shared" si="11"/>
        <v>124.905</v>
      </c>
      <c r="AA37">
        <f t="shared" si="12"/>
        <v>0.47999999999956344</v>
      </c>
      <c r="AB37">
        <f t="shared" si="13"/>
        <v>119.90879999989095</v>
      </c>
      <c r="AC37">
        <f t="shared" si="14"/>
        <v>0.39199999999982538</v>
      </c>
      <c r="AD37">
        <f t="shared" si="15"/>
        <v>97.925519999956379</v>
      </c>
    </row>
    <row r="38" spans="1:30" x14ac:dyDescent="0.35">
      <c r="A38">
        <v>31408.066999999999</v>
      </c>
      <c r="B38">
        <v>31408.502</v>
      </c>
      <c r="C38">
        <v>31409.010999999999</v>
      </c>
      <c r="D38">
        <v>31409.482</v>
      </c>
      <c r="E38">
        <v>31409.879000000001</v>
      </c>
      <c r="G38">
        <f t="shared" si="1"/>
        <v>0.43500000000130967</v>
      </c>
      <c r="H38">
        <f t="shared" si="2"/>
        <v>109.31985000032914</v>
      </c>
      <c r="I38">
        <f t="shared" si="3"/>
        <v>0.50899999999819556</v>
      </c>
      <c r="J38">
        <f t="shared" si="4"/>
        <v>127.91678999954652</v>
      </c>
      <c r="K38">
        <f t="shared" si="5"/>
        <v>0.47100000000136788</v>
      </c>
      <c r="L38">
        <f t="shared" si="6"/>
        <v>118.36701000034377</v>
      </c>
      <c r="M38">
        <f t="shared" si="7"/>
        <v>0.39700000000084401</v>
      </c>
      <c r="N38">
        <f t="shared" si="8"/>
        <v>99.770070000212115</v>
      </c>
      <c r="Q38">
        <v>6074.4920000000002</v>
      </c>
      <c r="R38">
        <v>6074.9459999999999</v>
      </c>
      <c r="S38">
        <v>6075.4549999999999</v>
      </c>
      <c r="T38">
        <v>6075.9250000000002</v>
      </c>
      <c r="U38">
        <v>6076.3230000000003</v>
      </c>
      <c r="W38">
        <f t="shared" si="9"/>
        <v>0.45399999999972351</v>
      </c>
      <c r="X38">
        <f t="shared" si="10"/>
        <v>113.41373999993093</v>
      </c>
      <c r="Y38">
        <f t="shared" si="16"/>
        <v>0.50900000000001455</v>
      </c>
      <c r="Z38">
        <f t="shared" si="11"/>
        <v>127.15329000000364</v>
      </c>
      <c r="AA38">
        <f t="shared" si="12"/>
        <v>0.47000000000025466</v>
      </c>
      <c r="AB38">
        <f t="shared" si="13"/>
        <v>117.41070000006361</v>
      </c>
      <c r="AC38">
        <f t="shared" si="14"/>
        <v>0.39800000000013824</v>
      </c>
      <c r="AD38">
        <f t="shared" si="15"/>
        <v>99.424380000034532</v>
      </c>
    </row>
    <row r="39" spans="1:30" x14ac:dyDescent="0.35">
      <c r="A39">
        <v>31409.164000000001</v>
      </c>
      <c r="B39">
        <v>31409.612000000001</v>
      </c>
      <c r="C39">
        <v>31410.111000000001</v>
      </c>
      <c r="D39">
        <v>31410.593000000001</v>
      </c>
      <c r="E39">
        <v>31410.977999999999</v>
      </c>
      <c r="G39">
        <f t="shared" si="1"/>
        <v>0.44800000000032014</v>
      </c>
      <c r="H39">
        <f t="shared" si="2"/>
        <v>112.58688000008046</v>
      </c>
      <c r="I39">
        <f t="shared" si="3"/>
        <v>0.49899999999979627</v>
      </c>
      <c r="J39">
        <f t="shared" si="4"/>
        <v>125.4036899999488</v>
      </c>
      <c r="K39">
        <f t="shared" si="5"/>
        <v>0.4819999999999709</v>
      </c>
      <c r="L39">
        <f t="shared" si="6"/>
        <v>121.13141999999269</v>
      </c>
      <c r="M39">
        <f t="shared" si="7"/>
        <v>0.38499999999839929</v>
      </c>
      <c r="N39">
        <f t="shared" si="8"/>
        <v>96.754349999597721</v>
      </c>
      <c r="Q39">
        <v>6081.8410000000003</v>
      </c>
      <c r="R39">
        <v>6082.299</v>
      </c>
      <c r="S39">
        <v>6082.8090000000002</v>
      </c>
      <c r="T39">
        <v>6083.2889999999998</v>
      </c>
      <c r="U39">
        <v>6083.68</v>
      </c>
      <c r="W39">
        <f t="shared" si="9"/>
        <v>0.45799999999962893</v>
      </c>
      <c r="X39">
        <f t="shared" si="10"/>
        <v>114.41297999990731</v>
      </c>
      <c r="Y39">
        <f t="shared" si="16"/>
        <v>0.51000000000021828</v>
      </c>
      <c r="Z39">
        <f t="shared" si="11"/>
        <v>127.40310000005454</v>
      </c>
      <c r="AA39">
        <f t="shared" si="12"/>
        <v>0.47999999999956344</v>
      </c>
      <c r="AB39">
        <f t="shared" si="13"/>
        <v>119.90879999989095</v>
      </c>
      <c r="AC39">
        <f t="shared" si="14"/>
        <v>0.39100000000053114</v>
      </c>
      <c r="AD39">
        <f t="shared" si="15"/>
        <v>97.675710000132682</v>
      </c>
    </row>
    <row r="40" spans="1:30" x14ac:dyDescent="0.35">
      <c r="A40">
        <v>31410.242999999999</v>
      </c>
      <c r="B40">
        <v>31410.694</v>
      </c>
      <c r="C40">
        <v>31411.191999999999</v>
      </c>
      <c r="D40">
        <v>31411.674999999999</v>
      </c>
      <c r="E40">
        <v>31412.062000000002</v>
      </c>
      <c r="G40">
        <f t="shared" si="1"/>
        <v>0.45100000000093132</v>
      </c>
      <c r="H40">
        <f t="shared" si="2"/>
        <v>113.34081000023406</v>
      </c>
      <c r="I40">
        <f t="shared" si="3"/>
        <v>0.49799999999959255</v>
      </c>
      <c r="J40">
        <f t="shared" si="4"/>
        <v>125.1523799998976</v>
      </c>
      <c r="K40">
        <f t="shared" si="5"/>
        <v>0.48300000000017462</v>
      </c>
      <c r="L40">
        <f t="shared" si="6"/>
        <v>121.38273000004389</v>
      </c>
      <c r="M40">
        <f t="shared" si="7"/>
        <v>0.38700000000244472</v>
      </c>
      <c r="N40">
        <f t="shared" si="8"/>
        <v>97.256970000614388</v>
      </c>
      <c r="Q40">
        <v>6088.2709999999997</v>
      </c>
      <c r="R40">
        <v>6088.723</v>
      </c>
      <c r="S40">
        <v>6089.2330000000002</v>
      </c>
      <c r="T40">
        <v>6089.7039999999997</v>
      </c>
      <c r="U40">
        <v>6090.0990000000002</v>
      </c>
      <c r="W40">
        <f t="shared" si="9"/>
        <v>0.45200000000022555</v>
      </c>
      <c r="X40">
        <f t="shared" si="10"/>
        <v>112.91412000005634</v>
      </c>
      <c r="Y40">
        <f t="shared" si="16"/>
        <v>0.51000000000021828</v>
      </c>
      <c r="Z40">
        <f t="shared" si="11"/>
        <v>127.40310000005454</v>
      </c>
      <c r="AA40">
        <f t="shared" si="12"/>
        <v>0.47099999999954889</v>
      </c>
      <c r="AB40">
        <f t="shared" si="13"/>
        <v>117.66050999988731</v>
      </c>
      <c r="AC40">
        <f t="shared" si="14"/>
        <v>0.39500000000043656</v>
      </c>
      <c r="AD40">
        <f t="shared" si="15"/>
        <v>98.674950000109064</v>
      </c>
    </row>
    <row r="41" spans="1:30" x14ac:dyDescent="0.35">
      <c r="A41">
        <v>31411.33</v>
      </c>
      <c r="B41">
        <v>31411.776000000002</v>
      </c>
      <c r="C41">
        <v>31412.274000000001</v>
      </c>
      <c r="D41">
        <v>31412.755000000001</v>
      </c>
      <c r="E41">
        <v>31413.143</v>
      </c>
      <c r="G41">
        <f t="shared" si="1"/>
        <v>0.44599999999991269</v>
      </c>
      <c r="H41">
        <f t="shared" si="2"/>
        <v>112.08425999997806</v>
      </c>
      <c r="I41">
        <f t="shared" si="3"/>
        <v>0.49799999999959255</v>
      </c>
      <c r="J41">
        <f t="shared" si="4"/>
        <v>125.1523799998976</v>
      </c>
      <c r="K41">
        <f t="shared" si="5"/>
        <v>0.48099999999976717</v>
      </c>
      <c r="L41">
        <f t="shared" si="6"/>
        <v>120.88010999994148</v>
      </c>
      <c r="M41">
        <f t="shared" si="7"/>
        <v>0.38799999999901047</v>
      </c>
      <c r="N41">
        <f t="shared" si="8"/>
        <v>97.508279999751323</v>
      </c>
      <c r="Q41">
        <v>6094.6670000000004</v>
      </c>
      <c r="R41">
        <v>6095.1189999999997</v>
      </c>
      <c r="S41">
        <v>6095.6260000000002</v>
      </c>
      <c r="T41">
        <v>6096.107</v>
      </c>
      <c r="U41">
        <v>6096.5010000000002</v>
      </c>
      <c r="W41">
        <f t="shared" si="9"/>
        <v>0.45199999999931606</v>
      </c>
      <c r="X41">
        <f t="shared" si="10"/>
        <v>112.91411999982914</v>
      </c>
      <c r="Y41">
        <f t="shared" si="16"/>
        <v>0.50700000000051659</v>
      </c>
      <c r="Z41">
        <f t="shared" si="11"/>
        <v>126.65367000012905</v>
      </c>
      <c r="AA41">
        <f t="shared" si="12"/>
        <v>0.48099999999976717</v>
      </c>
      <c r="AB41">
        <f t="shared" si="13"/>
        <v>120.15860999994183</v>
      </c>
      <c r="AC41">
        <f t="shared" si="14"/>
        <v>0.39400000000023283</v>
      </c>
      <c r="AD41">
        <f t="shared" si="15"/>
        <v>98.425140000058164</v>
      </c>
    </row>
    <row r="42" spans="1:30" x14ac:dyDescent="0.35">
      <c r="A42">
        <v>31412.419000000002</v>
      </c>
      <c r="B42">
        <v>31412.876</v>
      </c>
      <c r="C42">
        <v>31413.365000000002</v>
      </c>
      <c r="D42">
        <v>31413.846000000001</v>
      </c>
      <c r="E42">
        <v>31414.235000000001</v>
      </c>
      <c r="G42">
        <f t="shared" si="1"/>
        <v>0.4569999999985157</v>
      </c>
      <c r="H42">
        <f t="shared" si="2"/>
        <v>114.84866999962698</v>
      </c>
      <c r="I42">
        <f t="shared" si="3"/>
        <v>0.48900000000139698</v>
      </c>
      <c r="J42">
        <f t="shared" si="4"/>
        <v>122.89059000035108</v>
      </c>
      <c r="K42">
        <f t="shared" si="5"/>
        <v>0.48099999999976717</v>
      </c>
      <c r="L42">
        <f t="shared" si="6"/>
        <v>120.88010999994148</v>
      </c>
      <c r="M42">
        <f t="shared" si="7"/>
        <v>0.3889999999992142</v>
      </c>
      <c r="N42">
        <f t="shared" si="8"/>
        <v>97.759589999802515</v>
      </c>
      <c r="Q42">
        <v>6101.0969999999998</v>
      </c>
      <c r="R42">
        <v>6101.5519999999997</v>
      </c>
      <c r="S42">
        <v>6102.0510000000004</v>
      </c>
      <c r="T42">
        <v>6102.5320000000002</v>
      </c>
      <c r="U42">
        <v>6102.9290000000001</v>
      </c>
      <c r="W42">
        <f t="shared" si="9"/>
        <v>0.45499999999992724</v>
      </c>
      <c r="X42">
        <f t="shared" si="10"/>
        <v>113.66354999998183</v>
      </c>
      <c r="Y42">
        <f t="shared" si="16"/>
        <v>0.49900000000070577</v>
      </c>
      <c r="Z42">
        <f t="shared" si="11"/>
        <v>124.6551900001763</v>
      </c>
      <c r="AA42">
        <f t="shared" si="12"/>
        <v>0.48099999999976717</v>
      </c>
      <c r="AB42">
        <f t="shared" si="13"/>
        <v>120.15860999994183</v>
      </c>
      <c r="AC42">
        <f t="shared" si="14"/>
        <v>0.39699999999993452</v>
      </c>
      <c r="AD42">
        <f t="shared" si="15"/>
        <v>99.174569999983646</v>
      </c>
    </row>
    <row r="43" spans="1:30" x14ac:dyDescent="0.35">
      <c r="A43">
        <v>31413.507000000001</v>
      </c>
      <c r="B43">
        <v>31413.965</v>
      </c>
      <c r="C43">
        <v>31414.455000000002</v>
      </c>
      <c r="D43">
        <v>31414.927</v>
      </c>
      <c r="E43">
        <v>31415.321</v>
      </c>
      <c r="G43">
        <f t="shared" si="1"/>
        <v>0.45799999999871943</v>
      </c>
      <c r="H43">
        <f t="shared" si="2"/>
        <v>115.09997999967818</v>
      </c>
      <c r="I43">
        <f t="shared" si="3"/>
        <v>0.49000000000160071</v>
      </c>
      <c r="J43">
        <f t="shared" si="4"/>
        <v>123.14190000040227</v>
      </c>
      <c r="K43">
        <f t="shared" si="5"/>
        <v>0.47199999999793363</v>
      </c>
      <c r="L43">
        <f t="shared" si="6"/>
        <v>118.6183199994807</v>
      </c>
      <c r="M43">
        <f t="shared" si="7"/>
        <v>0.39400000000023283</v>
      </c>
      <c r="N43">
        <f t="shared" si="8"/>
        <v>99.016140000058513</v>
      </c>
      <c r="Q43">
        <v>6107.491</v>
      </c>
      <c r="R43">
        <v>6107.9470000000001</v>
      </c>
      <c r="S43">
        <v>6108.4470000000001</v>
      </c>
      <c r="T43">
        <v>6108.9269999999997</v>
      </c>
      <c r="U43">
        <v>6109.3180000000002</v>
      </c>
      <c r="W43">
        <f t="shared" si="9"/>
        <v>0.45600000000013097</v>
      </c>
      <c r="X43">
        <f t="shared" si="10"/>
        <v>113.91336000003272</v>
      </c>
      <c r="Y43">
        <f t="shared" si="16"/>
        <v>0.5</v>
      </c>
      <c r="Z43">
        <f t="shared" si="11"/>
        <v>124.905</v>
      </c>
      <c r="AA43">
        <f t="shared" si="12"/>
        <v>0.47999999999956344</v>
      </c>
      <c r="AB43">
        <f t="shared" si="13"/>
        <v>119.90879999989095</v>
      </c>
      <c r="AC43">
        <f t="shared" si="14"/>
        <v>0.39100000000053114</v>
      </c>
      <c r="AD43">
        <f t="shared" si="15"/>
        <v>97.675710000132682</v>
      </c>
    </row>
    <row r="44" spans="1:30" x14ac:dyDescent="0.35">
      <c r="A44">
        <v>31414.595000000001</v>
      </c>
      <c r="B44">
        <v>31415.046999999999</v>
      </c>
      <c r="C44">
        <v>31415.546999999999</v>
      </c>
      <c r="D44">
        <v>31416.026000000002</v>
      </c>
      <c r="E44">
        <v>31416.416000000001</v>
      </c>
      <c r="G44">
        <f t="shared" si="1"/>
        <v>0.45199999999749707</v>
      </c>
      <c r="H44">
        <f t="shared" si="2"/>
        <v>113.59211999937099</v>
      </c>
      <c r="I44">
        <f t="shared" si="3"/>
        <v>0.5</v>
      </c>
      <c r="J44">
        <f t="shared" si="4"/>
        <v>125.655</v>
      </c>
      <c r="K44">
        <f t="shared" si="5"/>
        <v>0.47900000000299769</v>
      </c>
      <c r="L44">
        <f t="shared" si="6"/>
        <v>120.37749000075335</v>
      </c>
      <c r="M44">
        <f t="shared" si="7"/>
        <v>0.38999999999941792</v>
      </c>
      <c r="N44">
        <f t="shared" si="8"/>
        <v>98.01089999985372</v>
      </c>
      <c r="Q44">
        <v>6114.8419999999996</v>
      </c>
      <c r="R44">
        <v>6115.299</v>
      </c>
      <c r="S44">
        <v>6115.8090000000002</v>
      </c>
      <c r="T44">
        <v>6116.2790000000005</v>
      </c>
      <c r="U44">
        <v>6116.6760000000004</v>
      </c>
      <c r="W44">
        <f t="shared" si="9"/>
        <v>0.45700000000033469</v>
      </c>
      <c r="X44">
        <f t="shared" si="10"/>
        <v>114.16317000008361</v>
      </c>
      <c r="Y44">
        <f t="shared" si="16"/>
        <v>0.51000000000021828</v>
      </c>
      <c r="Z44">
        <f t="shared" si="11"/>
        <v>127.40310000005454</v>
      </c>
      <c r="AA44">
        <f t="shared" si="12"/>
        <v>0.47000000000025466</v>
      </c>
      <c r="AB44">
        <f t="shared" si="13"/>
        <v>117.41070000006361</v>
      </c>
      <c r="AC44">
        <f t="shared" si="14"/>
        <v>0.39699999999993452</v>
      </c>
      <c r="AD44">
        <f t="shared" si="15"/>
        <v>99.174569999983646</v>
      </c>
    </row>
    <row r="45" spans="1:30" x14ac:dyDescent="0.35">
      <c r="A45">
        <v>31415.686000000002</v>
      </c>
      <c r="B45">
        <v>31416.137999999999</v>
      </c>
      <c r="C45">
        <v>31416.636999999999</v>
      </c>
      <c r="D45">
        <v>31417.117999999999</v>
      </c>
      <c r="E45">
        <v>31417.508000000002</v>
      </c>
      <c r="G45">
        <f t="shared" si="1"/>
        <v>0.45199999999749707</v>
      </c>
      <c r="H45">
        <f t="shared" si="2"/>
        <v>113.59211999937099</v>
      </c>
      <c r="I45">
        <f t="shared" si="3"/>
        <v>0.49899999999979627</v>
      </c>
      <c r="J45">
        <f t="shared" si="4"/>
        <v>125.4036899999488</v>
      </c>
      <c r="K45">
        <f t="shared" si="5"/>
        <v>0.48099999999976717</v>
      </c>
      <c r="L45">
        <f t="shared" si="6"/>
        <v>120.88010999994148</v>
      </c>
      <c r="M45">
        <f t="shared" si="7"/>
        <v>0.3900000000030559</v>
      </c>
      <c r="N45">
        <f t="shared" si="8"/>
        <v>98.010900000767975</v>
      </c>
      <c r="Q45">
        <v>6121.2430000000004</v>
      </c>
      <c r="R45">
        <v>6121.7020000000002</v>
      </c>
      <c r="S45">
        <v>6122.2139999999999</v>
      </c>
      <c r="T45">
        <v>6122.6840000000002</v>
      </c>
      <c r="U45">
        <v>6123.0829999999996</v>
      </c>
      <c r="W45">
        <f t="shared" si="9"/>
        <v>0.45899999999983265</v>
      </c>
      <c r="X45">
        <f t="shared" si="10"/>
        <v>114.66278999995819</v>
      </c>
      <c r="Y45">
        <f t="shared" si="16"/>
        <v>0.51199999999971624</v>
      </c>
      <c r="Z45">
        <f t="shared" si="11"/>
        <v>127.90271999992912</v>
      </c>
      <c r="AA45">
        <f t="shared" si="12"/>
        <v>0.47000000000025466</v>
      </c>
      <c r="AB45">
        <f t="shared" si="13"/>
        <v>117.41070000006361</v>
      </c>
      <c r="AC45">
        <f t="shared" si="14"/>
        <v>0.39899999999943248</v>
      </c>
      <c r="AD45">
        <f t="shared" si="15"/>
        <v>99.674189999858228</v>
      </c>
    </row>
    <row r="46" spans="1:30" x14ac:dyDescent="0.35">
      <c r="A46">
        <v>31416.773000000001</v>
      </c>
      <c r="B46">
        <v>31417.239000000001</v>
      </c>
      <c r="C46">
        <v>31417.718000000001</v>
      </c>
      <c r="D46">
        <v>31418.199000000001</v>
      </c>
      <c r="E46">
        <v>31418.583999999999</v>
      </c>
      <c r="G46">
        <f t="shared" si="1"/>
        <v>0.46600000000034925</v>
      </c>
      <c r="H46">
        <f t="shared" si="2"/>
        <v>117.11046000008777</v>
      </c>
      <c r="I46">
        <f t="shared" si="3"/>
        <v>0.47899999999935972</v>
      </c>
      <c r="J46">
        <f t="shared" si="4"/>
        <v>120.37748999983909</v>
      </c>
      <c r="K46">
        <f t="shared" si="5"/>
        <v>0.48099999999976717</v>
      </c>
      <c r="L46">
        <f t="shared" si="6"/>
        <v>120.88010999994148</v>
      </c>
      <c r="M46">
        <f t="shared" si="7"/>
        <v>0.38499999999839929</v>
      </c>
      <c r="N46">
        <f t="shared" si="8"/>
        <v>96.754349999597721</v>
      </c>
      <c r="Q46">
        <v>6127.6210000000001</v>
      </c>
      <c r="R46">
        <v>6128.076</v>
      </c>
      <c r="S46">
        <v>6128.5770000000002</v>
      </c>
      <c r="T46">
        <v>6129.0569999999998</v>
      </c>
      <c r="U46">
        <v>6129.451</v>
      </c>
      <c r="W46">
        <f t="shared" si="9"/>
        <v>0.45499999999992724</v>
      </c>
      <c r="X46">
        <f t="shared" si="10"/>
        <v>113.66354999998183</v>
      </c>
      <c r="Y46">
        <f t="shared" si="16"/>
        <v>0.50100000000020373</v>
      </c>
      <c r="Z46">
        <f t="shared" si="11"/>
        <v>125.1548100000509</v>
      </c>
      <c r="AA46">
        <f t="shared" si="12"/>
        <v>0.47999999999956344</v>
      </c>
      <c r="AB46">
        <f t="shared" si="13"/>
        <v>119.90879999989095</v>
      </c>
      <c r="AC46">
        <f t="shared" si="14"/>
        <v>0.39400000000023283</v>
      </c>
      <c r="AD46">
        <f t="shared" si="15"/>
        <v>98.425140000058164</v>
      </c>
    </row>
    <row r="47" spans="1:30" x14ac:dyDescent="0.35">
      <c r="A47">
        <v>31417.863000000001</v>
      </c>
      <c r="B47">
        <v>31418.319</v>
      </c>
      <c r="C47">
        <v>31418.808000000001</v>
      </c>
      <c r="D47">
        <v>31419.29</v>
      </c>
      <c r="E47">
        <v>31419.678</v>
      </c>
      <c r="G47">
        <f t="shared" si="1"/>
        <v>0.45599999999831198</v>
      </c>
      <c r="H47">
        <f t="shared" si="2"/>
        <v>114.59735999957579</v>
      </c>
      <c r="I47">
        <f t="shared" si="3"/>
        <v>0.48900000000139698</v>
      </c>
      <c r="J47">
        <f t="shared" si="4"/>
        <v>122.89059000035108</v>
      </c>
      <c r="K47">
        <f t="shared" si="5"/>
        <v>0.4819999999999709</v>
      </c>
      <c r="L47">
        <f t="shared" si="6"/>
        <v>121.13141999999269</v>
      </c>
      <c r="M47">
        <f t="shared" si="7"/>
        <v>0.38799999999901047</v>
      </c>
      <c r="N47">
        <f t="shared" si="8"/>
        <v>97.508279999751323</v>
      </c>
      <c r="Q47">
        <v>6134.0559999999996</v>
      </c>
      <c r="R47">
        <v>6134.5110000000004</v>
      </c>
      <c r="S47">
        <v>6135.0119999999997</v>
      </c>
      <c r="T47">
        <v>6135.4920000000002</v>
      </c>
      <c r="U47">
        <v>6135.8869999999997</v>
      </c>
      <c r="W47">
        <f t="shared" si="9"/>
        <v>0.45500000000083674</v>
      </c>
      <c r="X47">
        <f t="shared" si="10"/>
        <v>113.66355000020903</v>
      </c>
      <c r="Y47">
        <f t="shared" si="16"/>
        <v>0.50099999999929423</v>
      </c>
      <c r="Z47">
        <f t="shared" si="11"/>
        <v>125.1548099998237</v>
      </c>
      <c r="AA47">
        <f t="shared" si="12"/>
        <v>0.48000000000047294</v>
      </c>
      <c r="AB47">
        <f t="shared" si="13"/>
        <v>119.90880000011815</v>
      </c>
      <c r="AC47">
        <f t="shared" si="14"/>
        <v>0.39499999999952706</v>
      </c>
      <c r="AD47">
        <f t="shared" si="15"/>
        <v>98.674949999881861</v>
      </c>
    </row>
    <row r="48" spans="1:30" x14ac:dyDescent="0.35">
      <c r="A48">
        <v>31418.951000000001</v>
      </c>
      <c r="B48">
        <v>31419.401000000002</v>
      </c>
      <c r="C48">
        <v>31419.901999999998</v>
      </c>
      <c r="D48">
        <v>31420.37</v>
      </c>
      <c r="E48">
        <v>31420.764999999999</v>
      </c>
      <c r="G48">
        <f t="shared" si="1"/>
        <v>0.4500000000007276</v>
      </c>
      <c r="H48">
        <f t="shared" si="2"/>
        <v>113.08950000018285</v>
      </c>
      <c r="I48">
        <f t="shared" si="3"/>
        <v>0.50099999999656575</v>
      </c>
      <c r="J48">
        <f t="shared" si="4"/>
        <v>125.90630999913694</v>
      </c>
      <c r="K48">
        <f t="shared" si="5"/>
        <v>0.4680000000007567</v>
      </c>
      <c r="L48">
        <f t="shared" si="6"/>
        <v>117.61308000019017</v>
      </c>
      <c r="M48">
        <f t="shared" si="7"/>
        <v>0.39500000000043656</v>
      </c>
      <c r="N48">
        <f t="shared" si="8"/>
        <v>99.267450000109719</v>
      </c>
      <c r="Q48">
        <v>6140.4409999999998</v>
      </c>
      <c r="R48">
        <v>6140.8959999999997</v>
      </c>
      <c r="S48">
        <v>6141.4059999999999</v>
      </c>
      <c r="T48">
        <v>6141.8770000000004</v>
      </c>
      <c r="U48">
        <v>6142.2740000000003</v>
      </c>
      <c r="W48">
        <f t="shared" si="9"/>
        <v>0.45499999999992724</v>
      </c>
      <c r="X48">
        <f t="shared" si="10"/>
        <v>113.66354999998183</v>
      </c>
      <c r="Y48">
        <f t="shared" si="16"/>
        <v>0.51000000000021828</v>
      </c>
      <c r="Z48">
        <f t="shared" si="11"/>
        <v>127.40310000005454</v>
      </c>
      <c r="AA48">
        <f t="shared" si="12"/>
        <v>0.47100000000045839</v>
      </c>
      <c r="AB48">
        <f t="shared" si="13"/>
        <v>117.66051000011451</v>
      </c>
      <c r="AC48">
        <f t="shared" si="14"/>
        <v>0.39699999999993452</v>
      </c>
      <c r="AD48">
        <f t="shared" si="15"/>
        <v>99.174569999983646</v>
      </c>
    </row>
    <row r="49" spans="1:30" x14ac:dyDescent="0.35">
      <c r="A49">
        <v>31420.041000000001</v>
      </c>
      <c r="B49">
        <v>31420.49</v>
      </c>
      <c r="C49">
        <v>31420.991000000002</v>
      </c>
      <c r="D49">
        <v>31421.47</v>
      </c>
      <c r="E49">
        <v>31421.859</v>
      </c>
      <c r="G49">
        <f t="shared" si="1"/>
        <v>0.44900000000052387</v>
      </c>
      <c r="H49">
        <f t="shared" si="2"/>
        <v>112.83819000013166</v>
      </c>
      <c r="I49">
        <f t="shared" si="3"/>
        <v>0.50100000000020373</v>
      </c>
      <c r="J49">
        <f t="shared" si="4"/>
        <v>125.90631000005121</v>
      </c>
      <c r="K49">
        <f t="shared" si="5"/>
        <v>0.47899999999935972</v>
      </c>
      <c r="L49">
        <f t="shared" si="6"/>
        <v>120.37748999983909</v>
      </c>
      <c r="M49">
        <f t="shared" si="7"/>
        <v>0.3889999999992142</v>
      </c>
      <c r="N49">
        <f t="shared" si="8"/>
        <v>97.759589999802515</v>
      </c>
      <c r="Q49">
        <v>6147.7719999999999</v>
      </c>
      <c r="R49">
        <v>6148.23</v>
      </c>
      <c r="S49">
        <v>6148.73</v>
      </c>
      <c r="T49">
        <v>6149.21</v>
      </c>
      <c r="U49">
        <v>6149.6019999999999</v>
      </c>
      <c r="W49">
        <f t="shared" si="9"/>
        <v>0.45799999999962893</v>
      </c>
      <c r="X49">
        <f t="shared" si="10"/>
        <v>114.41297999990731</v>
      </c>
      <c r="Y49">
        <f t="shared" si="16"/>
        <v>0.5</v>
      </c>
      <c r="Z49">
        <f t="shared" si="11"/>
        <v>124.905</v>
      </c>
      <c r="AA49">
        <f t="shared" si="12"/>
        <v>0.48000000000047294</v>
      </c>
      <c r="AB49">
        <f t="shared" si="13"/>
        <v>119.90880000011815</v>
      </c>
      <c r="AC49">
        <f t="shared" si="14"/>
        <v>0.39199999999982538</v>
      </c>
      <c r="AD49">
        <f t="shared" si="15"/>
        <v>97.925519999956379</v>
      </c>
    </row>
    <row r="50" spans="1:30" x14ac:dyDescent="0.35">
      <c r="A50">
        <v>31429.969000000001</v>
      </c>
      <c r="B50">
        <v>31430.406999999999</v>
      </c>
      <c r="C50">
        <v>31430.916000000001</v>
      </c>
      <c r="D50">
        <v>31431.397000000001</v>
      </c>
      <c r="E50">
        <v>31431.784</v>
      </c>
      <c r="G50">
        <f t="shared" si="1"/>
        <v>0.43799999999828287</v>
      </c>
      <c r="H50">
        <f t="shared" si="2"/>
        <v>110.07377999956847</v>
      </c>
      <c r="I50">
        <f t="shared" si="3"/>
        <v>0.50900000000183354</v>
      </c>
      <c r="J50">
        <f t="shared" si="4"/>
        <v>127.91679000046079</v>
      </c>
      <c r="K50">
        <f t="shared" si="5"/>
        <v>0.48099999999976717</v>
      </c>
      <c r="L50">
        <f t="shared" si="6"/>
        <v>120.88010999994148</v>
      </c>
      <c r="M50">
        <f t="shared" si="7"/>
        <v>0.38699999999880674</v>
      </c>
      <c r="N50">
        <f t="shared" si="8"/>
        <v>97.256969999700118</v>
      </c>
      <c r="Q50">
        <v>6154.1610000000001</v>
      </c>
      <c r="R50">
        <v>6154.6139999999996</v>
      </c>
      <c r="S50">
        <v>6155.125</v>
      </c>
      <c r="T50">
        <v>6155.5940000000001</v>
      </c>
      <c r="U50">
        <v>6155.9870000000001</v>
      </c>
      <c r="W50">
        <f t="shared" si="9"/>
        <v>0.45299999999951979</v>
      </c>
      <c r="X50">
        <f t="shared" si="10"/>
        <v>113.16392999988004</v>
      </c>
      <c r="Y50">
        <f t="shared" si="16"/>
        <v>0.51100000000042201</v>
      </c>
      <c r="Z50">
        <f t="shared" si="11"/>
        <v>127.65291000010542</v>
      </c>
      <c r="AA50">
        <f t="shared" si="12"/>
        <v>0.46900000000005093</v>
      </c>
      <c r="AB50">
        <f t="shared" si="13"/>
        <v>117.16089000001273</v>
      </c>
      <c r="AC50">
        <f t="shared" si="14"/>
        <v>0.3930000000000291</v>
      </c>
      <c r="AD50">
        <f t="shared" si="15"/>
        <v>98.175330000007278</v>
      </c>
    </row>
    <row r="51" spans="1:30" x14ac:dyDescent="0.35">
      <c r="A51">
        <v>31431.063999999998</v>
      </c>
      <c r="B51">
        <v>31431.498</v>
      </c>
      <c r="C51">
        <v>31432.026000000002</v>
      </c>
      <c r="D51">
        <v>31432.488000000001</v>
      </c>
      <c r="E51">
        <v>31432.870999999999</v>
      </c>
      <c r="G51">
        <f t="shared" si="1"/>
        <v>0.43400000000110595</v>
      </c>
      <c r="H51">
        <f t="shared" si="2"/>
        <v>109.06854000027793</v>
      </c>
      <c r="I51">
        <f t="shared" si="3"/>
        <v>0.52800000000206637</v>
      </c>
      <c r="J51">
        <f t="shared" si="4"/>
        <v>132.69168000051931</v>
      </c>
      <c r="K51">
        <f t="shared" si="5"/>
        <v>0.46199999999953434</v>
      </c>
      <c r="L51">
        <f t="shared" si="6"/>
        <v>116.10521999988298</v>
      </c>
      <c r="M51">
        <f t="shared" si="7"/>
        <v>0.38299999999799184</v>
      </c>
      <c r="N51">
        <f t="shared" si="8"/>
        <v>96.251729999495325</v>
      </c>
      <c r="Q51">
        <v>6160.6009999999997</v>
      </c>
      <c r="R51">
        <v>6161.0569999999998</v>
      </c>
      <c r="S51">
        <v>6161.5680000000002</v>
      </c>
      <c r="T51">
        <v>6162.0389999999998</v>
      </c>
      <c r="U51">
        <v>6162.433</v>
      </c>
      <c r="W51">
        <f t="shared" si="9"/>
        <v>0.45600000000013097</v>
      </c>
      <c r="X51">
        <f t="shared" si="10"/>
        <v>113.91336000003272</v>
      </c>
      <c r="Y51">
        <f t="shared" si="16"/>
        <v>0.51100000000042201</v>
      </c>
      <c r="Z51">
        <f t="shared" si="11"/>
        <v>127.65291000010542</v>
      </c>
      <c r="AA51">
        <f t="shared" si="12"/>
        <v>0.47099999999954889</v>
      </c>
      <c r="AB51">
        <f t="shared" si="13"/>
        <v>117.66050999988731</v>
      </c>
      <c r="AC51">
        <f t="shared" si="14"/>
        <v>0.39400000000023283</v>
      </c>
      <c r="AD51">
        <f t="shared" si="15"/>
        <v>98.425140000058164</v>
      </c>
    </row>
    <row r="52" spans="1:30" x14ac:dyDescent="0.35">
      <c r="A52">
        <v>31432.145</v>
      </c>
      <c r="B52">
        <v>31432.579000000002</v>
      </c>
      <c r="C52">
        <v>31433.088</v>
      </c>
      <c r="D52">
        <v>31433.579000000002</v>
      </c>
      <c r="E52">
        <v>31433.957999999999</v>
      </c>
      <c r="G52">
        <f t="shared" si="1"/>
        <v>0.43400000000110595</v>
      </c>
      <c r="H52">
        <f t="shared" si="2"/>
        <v>109.06854000027793</v>
      </c>
      <c r="I52">
        <f t="shared" si="3"/>
        <v>0.50899999999819556</v>
      </c>
      <c r="J52">
        <f t="shared" si="4"/>
        <v>127.91678999954652</v>
      </c>
      <c r="K52">
        <f t="shared" si="5"/>
        <v>0.49100000000180444</v>
      </c>
      <c r="L52">
        <f t="shared" si="6"/>
        <v>123.39321000045348</v>
      </c>
      <c r="M52">
        <f t="shared" si="7"/>
        <v>0.37899999999717693</v>
      </c>
      <c r="N52">
        <f t="shared" si="8"/>
        <v>95.246489999290532</v>
      </c>
      <c r="Q52">
        <v>6166.9930000000004</v>
      </c>
      <c r="R52">
        <v>6167.4620000000004</v>
      </c>
      <c r="S52">
        <v>6167.9620000000004</v>
      </c>
      <c r="T52">
        <v>6168.451</v>
      </c>
      <c r="U52">
        <v>6168.83</v>
      </c>
      <c r="W52">
        <f t="shared" si="9"/>
        <v>0.46900000000005093</v>
      </c>
      <c r="X52">
        <f t="shared" si="10"/>
        <v>117.16089000001273</v>
      </c>
      <c r="Y52">
        <f t="shared" si="16"/>
        <v>0.5</v>
      </c>
      <c r="Z52">
        <f t="shared" si="11"/>
        <v>124.905</v>
      </c>
      <c r="AA52">
        <f t="shared" si="12"/>
        <v>0.48899999999957799</v>
      </c>
      <c r="AB52">
        <f t="shared" si="13"/>
        <v>122.15708999989458</v>
      </c>
      <c r="AC52">
        <f t="shared" si="14"/>
        <v>0.37899999999990541</v>
      </c>
      <c r="AD52">
        <f t="shared" si="15"/>
        <v>94.677989999976376</v>
      </c>
    </row>
    <row r="53" spans="1:30" x14ac:dyDescent="0.35">
      <c r="A53">
        <v>31433.233</v>
      </c>
      <c r="B53">
        <v>31433.681</v>
      </c>
      <c r="C53">
        <v>31434.179</v>
      </c>
      <c r="D53">
        <v>31434.661</v>
      </c>
      <c r="E53">
        <v>31435.050999999999</v>
      </c>
      <c r="G53">
        <f t="shared" si="1"/>
        <v>0.44800000000032014</v>
      </c>
      <c r="H53">
        <f t="shared" si="2"/>
        <v>112.58688000008046</v>
      </c>
      <c r="I53">
        <f t="shared" si="3"/>
        <v>0.49799999999959255</v>
      </c>
      <c r="J53">
        <f t="shared" si="4"/>
        <v>125.1523799998976</v>
      </c>
      <c r="K53">
        <f t="shared" si="5"/>
        <v>0.4819999999999709</v>
      </c>
      <c r="L53">
        <f t="shared" si="6"/>
        <v>121.13141999999269</v>
      </c>
      <c r="M53">
        <f t="shared" si="7"/>
        <v>0.38999999999941792</v>
      </c>
      <c r="N53">
        <f t="shared" si="8"/>
        <v>98.01089999985372</v>
      </c>
      <c r="Q53">
        <v>6173.4160000000002</v>
      </c>
      <c r="R53">
        <v>6173.8670000000002</v>
      </c>
      <c r="S53">
        <v>6174.3770000000004</v>
      </c>
      <c r="T53">
        <v>6174.8469999999998</v>
      </c>
      <c r="U53">
        <v>6175.2449999999999</v>
      </c>
      <c r="W53">
        <f t="shared" si="9"/>
        <v>0.45100000000002183</v>
      </c>
      <c r="X53">
        <f t="shared" si="10"/>
        <v>112.66431000000546</v>
      </c>
      <c r="Y53">
        <f t="shared" si="16"/>
        <v>0.51000000000021828</v>
      </c>
      <c r="Z53">
        <f t="shared" si="11"/>
        <v>127.40310000005454</v>
      </c>
      <c r="AA53">
        <f t="shared" si="12"/>
        <v>0.46999999999934516</v>
      </c>
      <c r="AB53">
        <f t="shared" si="13"/>
        <v>117.41069999983641</v>
      </c>
      <c r="AC53">
        <f t="shared" si="14"/>
        <v>0.39800000000013824</v>
      </c>
      <c r="AD53">
        <f t="shared" si="15"/>
        <v>99.424380000034532</v>
      </c>
    </row>
    <row r="54" spans="1:30" x14ac:dyDescent="0.35">
      <c r="A54">
        <v>31434.321</v>
      </c>
      <c r="B54">
        <v>31434.77</v>
      </c>
      <c r="C54">
        <v>31435.27</v>
      </c>
      <c r="D54">
        <v>31435.752</v>
      </c>
      <c r="E54">
        <v>31436.137999999999</v>
      </c>
      <c r="G54">
        <f t="shared" si="1"/>
        <v>0.44900000000052387</v>
      </c>
      <c r="H54">
        <f t="shared" si="2"/>
        <v>112.83819000013166</v>
      </c>
      <c r="I54">
        <f t="shared" si="3"/>
        <v>0.5</v>
      </c>
      <c r="J54">
        <f t="shared" si="4"/>
        <v>125.655</v>
      </c>
      <c r="K54">
        <f t="shared" si="5"/>
        <v>0.4819999999999709</v>
      </c>
      <c r="L54">
        <f t="shared" si="6"/>
        <v>121.13141999999269</v>
      </c>
      <c r="M54">
        <f t="shared" si="7"/>
        <v>0.38599999999860302</v>
      </c>
      <c r="N54">
        <f t="shared" si="8"/>
        <v>97.005659999648927</v>
      </c>
      <c r="Q54">
        <v>6180.7439999999997</v>
      </c>
      <c r="R54">
        <v>6181.2</v>
      </c>
      <c r="S54">
        <v>6181.7089999999998</v>
      </c>
      <c r="T54">
        <v>6182.1790000000001</v>
      </c>
      <c r="U54">
        <v>6182.5770000000002</v>
      </c>
      <c r="W54">
        <f t="shared" si="9"/>
        <v>0.45600000000013097</v>
      </c>
      <c r="X54">
        <f t="shared" si="10"/>
        <v>113.91336000003272</v>
      </c>
      <c r="Y54">
        <f t="shared" si="16"/>
        <v>0.50900000000001455</v>
      </c>
      <c r="Z54">
        <f t="shared" si="11"/>
        <v>127.15329000000364</v>
      </c>
      <c r="AA54">
        <f t="shared" si="12"/>
        <v>0.47000000000025466</v>
      </c>
      <c r="AB54">
        <f t="shared" si="13"/>
        <v>117.41070000006361</v>
      </c>
      <c r="AC54">
        <f t="shared" si="14"/>
        <v>0.39800000000013824</v>
      </c>
      <c r="AD54">
        <f t="shared" si="15"/>
        <v>99.424380000034532</v>
      </c>
    </row>
    <row r="55" spans="1:30" x14ac:dyDescent="0.35">
      <c r="A55">
        <v>31435.409</v>
      </c>
      <c r="B55">
        <v>31435.851999999999</v>
      </c>
      <c r="C55">
        <v>31436.352999999999</v>
      </c>
      <c r="D55">
        <v>31436.832999999999</v>
      </c>
      <c r="E55">
        <v>31437.223999999998</v>
      </c>
      <c r="G55">
        <f t="shared" si="1"/>
        <v>0.44299999999930151</v>
      </c>
      <c r="H55">
        <f t="shared" si="2"/>
        <v>111.33032999982446</v>
      </c>
      <c r="I55">
        <f t="shared" si="3"/>
        <v>0.50100000000020373</v>
      </c>
      <c r="J55">
        <f t="shared" si="4"/>
        <v>125.90631000005121</v>
      </c>
      <c r="K55">
        <f t="shared" si="5"/>
        <v>0.47999999999956344</v>
      </c>
      <c r="L55">
        <f t="shared" si="6"/>
        <v>120.62879999989029</v>
      </c>
      <c r="M55">
        <f t="shared" si="7"/>
        <v>0.39099999999962165</v>
      </c>
      <c r="N55">
        <f t="shared" si="8"/>
        <v>98.262209999904911</v>
      </c>
      <c r="Q55">
        <v>6187.1729999999998</v>
      </c>
      <c r="R55">
        <v>6187.634</v>
      </c>
      <c r="S55">
        <v>6188.134</v>
      </c>
      <c r="T55">
        <v>6188.6130000000003</v>
      </c>
      <c r="U55">
        <v>6189.0079999999998</v>
      </c>
      <c r="W55">
        <f t="shared" si="9"/>
        <v>0.46100000000024011</v>
      </c>
      <c r="X55">
        <f t="shared" si="10"/>
        <v>115.16241000005998</v>
      </c>
      <c r="Y55">
        <f t="shared" si="16"/>
        <v>0.5</v>
      </c>
      <c r="Z55">
        <f t="shared" si="11"/>
        <v>124.905</v>
      </c>
      <c r="AA55">
        <f t="shared" si="12"/>
        <v>0.47900000000026921</v>
      </c>
      <c r="AB55">
        <f t="shared" si="13"/>
        <v>119.65899000006725</v>
      </c>
      <c r="AC55">
        <f t="shared" si="14"/>
        <v>0.39499999999952706</v>
      </c>
      <c r="AD55">
        <f t="shared" si="15"/>
        <v>98.674949999881861</v>
      </c>
    </row>
    <row r="56" spans="1:30" x14ac:dyDescent="0.35">
      <c r="A56">
        <v>31436.496999999999</v>
      </c>
      <c r="B56">
        <v>31436.944</v>
      </c>
      <c r="C56">
        <v>31437.441999999999</v>
      </c>
      <c r="D56">
        <v>31437.922999999999</v>
      </c>
      <c r="E56">
        <v>31438.311000000002</v>
      </c>
      <c r="G56">
        <f t="shared" si="1"/>
        <v>0.44700000000011642</v>
      </c>
      <c r="H56">
        <f t="shared" si="2"/>
        <v>112.33557000002926</v>
      </c>
      <c r="I56">
        <f t="shared" si="3"/>
        <v>0.49799999999959255</v>
      </c>
      <c r="J56">
        <f t="shared" si="4"/>
        <v>125.1523799998976</v>
      </c>
      <c r="K56">
        <f t="shared" si="5"/>
        <v>0.48099999999976717</v>
      </c>
      <c r="L56">
        <f t="shared" si="6"/>
        <v>120.88010999994148</v>
      </c>
      <c r="M56">
        <f t="shared" si="7"/>
        <v>0.38800000000264845</v>
      </c>
      <c r="N56">
        <f t="shared" si="8"/>
        <v>97.508280000665579</v>
      </c>
      <c r="Q56">
        <v>6193.5649999999996</v>
      </c>
      <c r="R56">
        <v>6194.0259999999998</v>
      </c>
      <c r="S56">
        <v>6194.5360000000001</v>
      </c>
      <c r="T56">
        <v>6195.0069999999996</v>
      </c>
      <c r="U56">
        <v>6195.4009999999998</v>
      </c>
      <c r="W56">
        <f t="shared" si="9"/>
        <v>0.46100000000024011</v>
      </c>
      <c r="X56">
        <f t="shared" si="10"/>
        <v>115.16241000005998</v>
      </c>
      <c r="Y56">
        <f t="shared" si="16"/>
        <v>0.51000000000021828</v>
      </c>
      <c r="Z56">
        <f t="shared" si="11"/>
        <v>127.40310000005454</v>
      </c>
      <c r="AA56">
        <f t="shared" si="12"/>
        <v>0.47099999999954889</v>
      </c>
      <c r="AB56">
        <f t="shared" si="13"/>
        <v>117.66050999988731</v>
      </c>
      <c r="AC56">
        <f t="shared" si="14"/>
        <v>0.39400000000023283</v>
      </c>
      <c r="AD56">
        <f t="shared" si="15"/>
        <v>98.425140000058164</v>
      </c>
    </row>
    <row r="57" spans="1:30" x14ac:dyDescent="0.35">
      <c r="A57">
        <v>31437.585999999999</v>
      </c>
      <c r="B57">
        <v>31438.043000000001</v>
      </c>
      <c r="C57">
        <v>31438.543000000001</v>
      </c>
      <c r="D57">
        <v>31439.004000000001</v>
      </c>
      <c r="E57">
        <v>31439.403999999999</v>
      </c>
      <c r="G57">
        <f t="shared" si="1"/>
        <v>0.45700000000215368</v>
      </c>
      <c r="H57">
        <f t="shared" si="2"/>
        <v>114.84867000054125</v>
      </c>
      <c r="I57">
        <f t="shared" si="3"/>
        <v>0.5</v>
      </c>
      <c r="J57">
        <f t="shared" si="4"/>
        <v>125.655</v>
      </c>
      <c r="K57">
        <f t="shared" si="5"/>
        <v>0.46099999999933061</v>
      </c>
      <c r="L57">
        <f t="shared" si="6"/>
        <v>115.85390999983177</v>
      </c>
      <c r="M57">
        <f t="shared" si="7"/>
        <v>0.39999999999781721</v>
      </c>
      <c r="N57">
        <f t="shared" si="8"/>
        <v>100.52399999945145</v>
      </c>
      <c r="Q57">
        <v>6199.9939999999997</v>
      </c>
      <c r="R57">
        <v>6200.4719999999998</v>
      </c>
      <c r="S57">
        <v>6200.9620000000004</v>
      </c>
      <c r="T57">
        <v>6201.4309999999996</v>
      </c>
      <c r="U57">
        <v>6201.8270000000002</v>
      </c>
      <c r="W57">
        <f t="shared" si="9"/>
        <v>0.47800000000006548</v>
      </c>
      <c r="X57">
        <f t="shared" si="10"/>
        <v>119.40918000001636</v>
      </c>
      <c r="Y57">
        <f t="shared" si="16"/>
        <v>0.49000000000069122</v>
      </c>
      <c r="Z57">
        <f t="shared" si="11"/>
        <v>122.40690000017267</v>
      </c>
      <c r="AA57">
        <f t="shared" si="12"/>
        <v>0.46899999999914144</v>
      </c>
      <c r="AB57">
        <f t="shared" si="13"/>
        <v>117.16088999978552</v>
      </c>
      <c r="AC57">
        <f t="shared" si="14"/>
        <v>0.39600000000064028</v>
      </c>
      <c r="AD57">
        <f t="shared" si="15"/>
        <v>98.924760000159949</v>
      </c>
    </row>
    <row r="58" spans="1:30" x14ac:dyDescent="0.35">
      <c r="A58">
        <v>31438.678</v>
      </c>
      <c r="B58">
        <v>31439.125</v>
      </c>
      <c r="C58">
        <v>31439.624</v>
      </c>
      <c r="D58">
        <v>31440.094000000001</v>
      </c>
      <c r="E58">
        <v>31440.492999999999</v>
      </c>
      <c r="G58">
        <f t="shared" si="1"/>
        <v>0.44700000000011642</v>
      </c>
      <c r="H58">
        <f t="shared" si="2"/>
        <v>112.33557000002926</v>
      </c>
      <c r="I58">
        <f t="shared" si="3"/>
        <v>0.49899999999979627</v>
      </c>
      <c r="J58">
        <f t="shared" si="4"/>
        <v>125.4036899999488</v>
      </c>
      <c r="K58">
        <f t="shared" si="5"/>
        <v>0.47000000000116415</v>
      </c>
      <c r="L58">
        <f t="shared" si="6"/>
        <v>118.11570000029256</v>
      </c>
      <c r="M58">
        <f t="shared" si="7"/>
        <v>0.39899999999761349</v>
      </c>
      <c r="N58">
        <f t="shared" si="8"/>
        <v>100.27268999940024</v>
      </c>
      <c r="Q58">
        <v>6206.3729999999996</v>
      </c>
      <c r="R58">
        <v>6206.8270000000002</v>
      </c>
      <c r="S58">
        <v>6207.3270000000002</v>
      </c>
      <c r="T58">
        <v>6207.8069999999998</v>
      </c>
      <c r="U58">
        <v>6208.1970000000001</v>
      </c>
      <c r="W58">
        <f t="shared" si="9"/>
        <v>0.45400000000063301</v>
      </c>
      <c r="X58">
        <f t="shared" si="10"/>
        <v>113.41374000015813</v>
      </c>
      <c r="Y58">
        <f t="shared" si="16"/>
        <v>0.5</v>
      </c>
      <c r="Z58">
        <f t="shared" si="11"/>
        <v>124.905</v>
      </c>
      <c r="AA58">
        <f t="shared" si="12"/>
        <v>0.47999999999956344</v>
      </c>
      <c r="AB58">
        <f t="shared" si="13"/>
        <v>119.90879999989095</v>
      </c>
      <c r="AC58">
        <f t="shared" si="14"/>
        <v>0.39000000000032742</v>
      </c>
      <c r="AD58">
        <f t="shared" si="15"/>
        <v>97.425900000081796</v>
      </c>
    </row>
    <row r="59" spans="1:30" x14ac:dyDescent="0.35">
      <c r="A59">
        <v>31439.768</v>
      </c>
      <c r="B59">
        <v>31440.214</v>
      </c>
      <c r="C59">
        <v>31440.703000000001</v>
      </c>
      <c r="D59">
        <v>31441.185000000001</v>
      </c>
      <c r="E59">
        <v>31441.582999999999</v>
      </c>
      <c r="G59">
        <f t="shared" si="1"/>
        <v>0.44599999999991269</v>
      </c>
      <c r="H59">
        <f t="shared" si="2"/>
        <v>112.08425999997806</v>
      </c>
      <c r="I59">
        <f t="shared" si="3"/>
        <v>0.48900000000139698</v>
      </c>
      <c r="J59">
        <f t="shared" si="4"/>
        <v>122.89059000035108</v>
      </c>
      <c r="K59">
        <f t="shared" si="5"/>
        <v>0.4819999999999709</v>
      </c>
      <c r="L59">
        <f t="shared" si="6"/>
        <v>121.13141999999269</v>
      </c>
      <c r="M59">
        <f t="shared" si="7"/>
        <v>0.39799999999740976</v>
      </c>
      <c r="N59">
        <f t="shared" si="8"/>
        <v>100.02137999934905</v>
      </c>
      <c r="Q59">
        <v>6213.7610000000004</v>
      </c>
      <c r="R59">
        <v>6214.21</v>
      </c>
      <c r="S59">
        <v>6214.7190000000001</v>
      </c>
      <c r="T59">
        <v>6215.1890000000003</v>
      </c>
      <c r="U59">
        <v>6215.5919999999996</v>
      </c>
      <c r="W59">
        <f t="shared" si="9"/>
        <v>0.44899999999961437</v>
      </c>
      <c r="X59">
        <f t="shared" si="10"/>
        <v>112.16468999990367</v>
      </c>
      <c r="Y59">
        <f t="shared" si="16"/>
        <v>0.50900000000001455</v>
      </c>
      <c r="Z59">
        <f t="shared" si="11"/>
        <v>127.15329000000364</v>
      </c>
      <c r="AA59">
        <f t="shared" si="12"/>
        <v>0.47000000000025466</v>
      </c>
      <c r="AB59">
        <f t="shared" si="13"/>
        <v>117.41070000006361</v>
      </c>
      <c r="AC59">
        <f t="shared" si="14"/>
        <v>0.40299999999933789</v>
      </c>
      <c r="AD59">
        <f t="shared" si="15"/>
        <v>100.6734299998346</v>
      </c>
    </row>
    <row r="60" spans="1:30" x14ac:dyDescent="0.35">
      <c r="A60">
        <v>31440.855</v>
      </c>
      <c r="B60">
        <v>31441.316999999999</v>
      </c>
      <c r="C60">
        <v>31441.805</v>
      </c>
      <c r="D60">
        <v>31442.287</v>
      </c>
      <c r="E60">
        <v>31442.668000000001</v>
      </c>
      <c r="G60">
        <f t="shared" si="1"/>
        <v>0.46199999999953434</v>
      </c>
      <c r="H60">
        <f t="shared" si="2"/>
        <v>116.10521999988298</v>
      </c>
      <c r="I60">
        <f t="shared" si="3"/>
        <v>0.48800000000119326</v>
      </c>
      <c r="J60">
        <f t="shared" si="4"/>
        <v>122.63928000029988</v>
      </c>
      <c r="K60">
        <f t="shared" si="5"/>
        <v>0.4819999999999709</v>
      </c>
      <c r="L60">
        <f t="shared" si="6"/>
        <v>121.13141999999269</v>
      </c>
      <c r="M60">
        <f t="shared" si="7"/>
        <v>0.38100000000122236</v>
      </c>
      <c r="N60">
        <f t="shared" si="8"/>
        <v>95.749110000307198</v>
      </c>
      <c r="Q60">
        <v>6220.1570000000002</v>
      </c>
      <c r="R60">
        <v>6220.6130000000003</v>
      </c>
      <c r="S60">
        <v>6221.1229999999996</v>
      </c>
      <c r="T60">
        <v>6221.5950000000003</v>
      </c>
      <c r="U60">
        <v>6221.9889999999996</v>
      </c>
      <c r="W60">
        <f t="shared" si="9"/>
        <v>0.45600000000013097</v>
      </c>
      <c r="X60">
        <f t="shared" si="10"/>
        <v>113.91336000003272</v>
      </c>
      <c r="Y60">
        <f t="shared" si="16"/>
        <v>0.50999999999930878</v>
      </c>
      <c r="Z60">
        <f t="shared" si="11"/>
        <v>127.40309999982733</v>
      </c>
      <c r="AA60">
        <f t="shared" si="12"/>
        <v>0.47200000000066211</v>
      </c>
      <c r="AB60">
        <f t="shared" si="13"/>
        <v>117.9103200001654</v>
      </c>
      <c r="AC60">
        <f t="shared" si="14"/>
        <v>0.39399999999932334</v>
      </c>
      <c r="AD60">
        <f t="shared" si="15"/>
        <v>98.425139999830961</v>
      </c>
    </row>
    <row r="61" spans="1:30" x14ac:dyDescent="0.35">
      <c r="A61">
        <v>31441.942999999999</v>
      </c>
      <c r="B61">
        <v>31442.387999999999</v>
      </c>
      <c r="C61">
        <v>31442.885999999999</v>
      </c>
      <c r="D61">
        <v>31443.357</v>
      </c>
      <c r="E61">
        <v>31443.758000000002</v>
      </c>
      <c r="G61">
        <f t="shared" si="1"/>
        <v>0.44499999999970896</v>
      </c>
      <c r="H61">
        <f t="shared" si="2"/>
        <v>111.83294999992685</v>
      </c>
      <c r="I61">
        <f t="shared" si="3"/>
        <v>0.49799999999959255</v>
      </c>
      <c r="J61">
        <f t="shared" si="4"/>
        <v>125.1523799998976</v>
      </c>
      <c r="K61">
        <f t="shared" si="5"/>
        <v>0.47100000000136788</v>
      </c>
      <c r="L61">
        <f t="shared" si="6"/>
        <v>118.36701000034377</v>
      </c>
      <c r="M61">
        <f t="shared" si="7"/>
        <v>0.40100000000165892</v>
      </c>
      <c r="N61">
        <f t="shared" si="8"/>
        <v>100.77531000041691</v>
      </c>
      <c r="Q61">
        <v>6226.5929999999998</v>
      </c>
      <c r="R61">
        <v>6227.0479999999998</v>
      </c>
      <c r="S61">
        <v>6227.5469999999996</v>
      </c>
      <c r="T61">
        <v>6228.027</v>
      </c>
      <c r="U61">
        <v>6228.4229999999998</v>
      </c>
      <c r="W61">
        <f t="shared" si="9"/>
        <v>0.45499999999992724</v>
      </c>
      <c r="X61">
        <f t="shared" si="10"/>
        <v>113.66354999998183</v>
      </c>
      <c r="Y61">
        <f t="shared" si="16"/>
        <v>0.49899999999979627</v>
      </c>
      <c r="Z61">
        <f t="shared" si="11"/>
        <v>124.6551899999491</v>
      </c>
      <c r="AA61">
        <f t="shared" si="12"/>
        <v>0.48000000000047294</v>
      </c>
      <c r="AB61">
        <f t="shared" si="13"/>
        <v>119.90880000011815</v>
      </c>
      <c r="AC61">
        <f t="shared" si="14"/>
        <v>0.39599999999973079</v>
      </c>
      <c r="AD61">
        <f t="shared" si="15"/>
        <v>98.924759999932746</v>
      </c>
    </row>
    <row r="62" spans="1:30" x14ac:dyDescent="0.35">
      <c r="A62">
        <v>31443.031999999999</v>
      </c>
      <c r="B62">
        <v>31443.477999999999</v>
      </c>
      <c r="C62">
        <v>31443.976999999999</v>
      </c>
      <c r="D62">
        <v>31444.448</v>
      </c>
      <c r="E62">
        <v>31444.843000000001</v>
      </c>
      <c r="G62">
        <f t="shared" si="1"/>
        <v>0.44599999999991269</v>
      </c>
      <c r="H62">
        <f t="shared" si="2"/>
        <v>112.08425999997806</v>
      </c>
      <c r="I62">
        <f t="shared" si="3"/>
        <v>0.49899999999979627</v>
      </c>
      <c r="J62">
        <f t="shared" si="4"/>
        <v>125.4036899999488</v>
      </c>
      <c r="K62">
        <f t="shared" si="5"/>
        <v>0.47100000000136788</v>
      </c>
      <c r="L62">
        <f t="shared" si="6"/>
        <v>118.36701000034377</v>
      </c>
      <c r="M62">
        <f t="shared" si="7"/>
        <v>0.39500000000043656</v>
      </c>
      <c r="N62">
        <f t="shared" si="8"/>
        <v>99.267450000109719</v>
      </c>
      <c r="Q62">
        <v>6232.982</v>
      </c>
      <c r="R62">
        <v>6233.4409999999998</v>
      </c>
      <c r="S62">
        <v>6233.9409999999998</v>
      </c>
      <c r="T62">
        <v>6234.4219999999996</v>
      </c>
      <c r="U62">
        <v>6234.8140000000003</v>
      </c>
      <c r="W62">
        <f t="shared" si="9"/>
        <v>0.45899999999983265</v>
      </c>
      <c r="X62">
        <f t="shared" si="10"/>
        <v>114.66278999995819</v>
      </c>
      <c r="Y62">
        <f t="shared" si="16"/>
        <v>0.5</v>
      </c>
      <c r="Z62">
        <f t="shared" si="11"/>
        <v>124.905</v>
      </c>
      <c r="AA62">
        <f t="shared" si="12"/>
        <v>0.48099999999976717</v>
      </c>
      <c r="AB62">
        <f t="shared" si="13"/>
        <v>120.15860999994183</v>
      </c>
      <c r="AC62">
        <f t="shared" si="14"/>
        <v>0.39200000000073487</v>
      </c>
      <c r="AD62">
        <f t="shared" si="15"/>
        <v>97.925520000183582</v>
      </c>
    </row>
    <row r="63" spans="1:30" x14ac:dyDescent="0.35">
      <c r="A63">
        <v>31444.12</v>
      </c>
      <c r="B63">
        <v>31444.567999999999</v>
      </c>
      <c r="C63">
        <v>31445.066999999999</v>
      </c>
      <c r="D63">
        <v>31445.559000000001</v>
      </c>
      <c r="E63">
        <v>31445.938999999998</v>
      </c>
      <c r="G63">
        <f t="shared" si="1"/>
        <v>0.44800000000032014</v>
      </c>
      <c r="H63">
        <f t="shared" si="2"/>
        <v>112.58688000008046</v>
      </c>
      <c r="I63">
        <f t="shared" si="3"/>
        <v>0.49899999999979627</v>
      </c>
      <c r="J63">
        <f t="shared" si="4"/>
        <v>125.4036899999488</v>
      </c>
      <c r="K63">
        <f t="shared" si="5"/>
        <v>0.49200000000200816</v>
      </c>
      <c r="L63">
        <f t="shared" si="6"/>
        <v>123.64452000050467</v>
      </c>
      <c r="M63">
        <f t="shared" si="7"/>
        <v>0.37999999999738066</v>
      </c>
      <c r="N63">
        <f t="shared" si="8"/>
        <v>95.497799999341737</v>
      </c>
      <c r="Q63">
        <v>6240.2060000000001</v>
      </c>
      <c r="R63">
        <v>6240.6679999999997</v>
      </c>
      <c r="S63">
        <v>6241.1670000000004</v>
      </c>
      <c r="T63">
        <v>6241.6459999999997</v>
      </c>
      <c r="U63">
        <v>6242.0420000000004</v>
      </c>
      <c r="W63">
        <f t="shared" si="9"/>
        <v>0.46199999999953434</v>
      </c>
      <c r="X63">
        <f t="shared" si="10"/>
        <v>115.41221999988367</v>
      </c>
      <c r="Y63">
        <f t="shared" si="16"/>
        <v>0.49900000000070577</v>
      </c>
      <c r="Z63">
        <f t="shared" si="11"/>
        <v>124.6551900001763</v>
      </c>
      <c r="AA63">
        <f t="shared" si="12"/>
        <v>0.47899999999935972</v>
      </c>
      <c r="AB63">
        <f t="shared" si="13"/>
        <v>119.65898999984005</v>
      </c>
      <c r="AC63">
        <f t="shared" si="14"/>
        <v>0.39600000000064028</v>
      </c>
      <c r="AD63">
        <f t="shared" si="15"/>
        <v>98.924760000159949</v>
      </c>
    </row>
    <row r="64" spans="1:30" x14ac:dyDescent="0.35">
      <c r="A64">
        <v>31445.207999999999</v>
      </c>
      <c r="B64">
        <v>31445.669000000002</v>
      </c>
      <c r="C64">
        <v>31446.159</v>
      </c>
      <c r="D64">
        <v>31446.63</v>
      </c>
      <c r="E64">
        <v>31447.022000000001</v>
      </c>
      <c r="G64">
        <f t="shared" si="1"/>
        <v>0.46100000000296859</v>
      </c>
      <c r="H64">
        <f t="shared" si="2"/>
        <v>115.85391000074604</v>
      </c>
      <c r="I64">
        <f t="shared" si="3"/>
        <v>0.48999999999796273</v>
      </c>
      <c r="J64">
        <f t="shared" si="4"/>
        <v>123.14189999948802</v>
      </c>
      <c r="K64">
        <f t="shared" si="5"/>
        <v>0.47100000000136788</v>
      </c>
      <c r="L64">
        <f t="shared" si="6"/>
        <v>118.36701000034377</v>
      </c>
      <c r="M64">
        <f t="shared" si="7"/>
        <v>0.39199999999982538</v>
      </c>
      <c r="N64">
        <f t="shared" si="8"/>
        <v>98.513519999956117</v>
      </c>
      <c r="Q64">
        <v>6247.6509999999998</v>
      </c>
      <c r="R64">
        <v>6248.11</v>
      </c>
      <c r="S64">
        <v>6248.61</v>
      </c>
      <c r="T64">
        <v>6249.09</v>
      </c>
      <c r="U64">
        <v>6249.4849999999997</v>
      </c>
      <c r="W64">
        <f t="shared" si="9"/>
        <v>0.45899999999983265</v>
      </c>
      <c r="X64">
        <f t="shared" si="10"/>
        <v>114.66278999995819</v>
      </c>
      <c r="Y64">
        <f t="shared" si="16"/>
        <v>0.5</v>
      </c>
      <c r="Z64">
        <f t="shared" si="11"/>
        <v>124.905</v>
      </c>
      <c r="AA64">
        <f t="shared" si="12"/>
        <v>0.48000000000047294</v>
      </c>
      <c r="AB64">
        <f t="shared" si="13"/>
        <v>119.90880000011815</v>
      </c>
      <c r="AC64">
        <f t="shared" si="14"/>
        <v>0.39499999999952706</v>
      </c>
      <c r="AD64">
        <f t="shared" si="15"/>
        <v>98.674949999881861</v>
      </c>
    </row>
    <row r="65" spans="1:30" x14ac:dyDescent="0.35">
      <c r="A65">
        <v>31446.296999999999</v>
      </c>
      <c r="B65">
        <v>31446.741999999998</v>
      </c>
      <c r="C65">
        <v>31447.241000000002</v>
      </c>
      <c r="D65">
        <v>31447.732</v>
      </c>
      <c r="E65">
        <v>31448.113000000001</v>
      </c>
      <c r="G65">
        <f t="shared" si="1"/>
        <v>0.44499999999970896</v>
      </c>
      <c r="H65">
        <f t="shared" si="2"/>
        <v>111.83294999992685</v>
      </c>
      <c r="I65">
        <f t="shared" si="3"/>
        <v>0.49900000000343425</v>
      </c>
      <c r="J65">
        <f t="shared" si="4"/>
        <v>125.40369000086307</v>
      </c>
      <c r="K65">
        <f t="shared" si="5"/>
        <v>0.49099999999816646</v>
      </c>
      <c r="L65">
        <f t="shared" si="6"/>
        <v>123.39320999953921</v>
      </c>
      <c r="M65">
        <f t="shared" si="7"/>
        <v>0.38100000000122236</v>
      </c>
      <c r="N65">
        <f t="shared" si="8"/>
        <v>95.749110000307198</v>
      </c>
      <c r="Q65">
        <v>6254.0360000000001</v>
      </c>
      <c r="R65">
        <v>6254.5140000000001</v>
      </c>
      <c r="S65">
        <v>6254.9949999999999</v>
      </c>
      <c r="T65">
        <v>6255.473</v>
      </c>
      <c r="U65">
        <v>6255.8649999999998</v>
      </c>
      <c r="W65">
        <f t="shared" si="9"/>
        <v>0.47800000000006548</v>
      </c>
      <c r="X65">
        <f t="shared" si="10"/>
        <v>119.40918000001636</v>
      </c>
      <c r="Y65">
        <f t="shared" si="16"/>
        <v>0.48099999999976717</v>
      </c>
      <c r="Z65">
        <f t="shared" si="11"/>
        <v>120.15860999994183</v>
      </c>
      <c r="AA65">
        <f t="shared" si="12"/>
        <v>0.47800000000006548</v>
      </c>
      <c r="AB65">
        <f t="shared" si="13"/>
        <v>119.40918000001636</v>
      </c>
      <c r="AC65">
        <f t="shared" si="14"/>
        <v>0.39199999999982538</v>
      </c>
      <c r="AD65">
        <f t="shared" si="15"/>
        <v>97.925519999956379</v>
      </c>
    </row>
    <row r="66" spans="1:30" x14ac:dyDescent="0.35">
      <c r="A66">
        <v>31447.387999999999</v>
      </c>
      <c r="B66">
        <v>31447.831999999999</v>
      </c>
      <c r="C66">
        <v>31448.330999999998</v>
      </c>
      <c r="D66">
        <v>31448.812000000002</v>
      </c>
      <c r="E66">
        <v>31449.196</v>
      </c>
      <c r="G66">
        <f t="shared" si="1"/>
        <v>0.44399999999950523</v>
      </c>
      <c r="H66">
        <f t="shared" si="2"/>
        <v>111.58163999987566</v>
      </c>
      <c r="I66">
        <f t="shared" si="3"/>
        <v>0.49899999999979627</v>
      </c>
      <c r="J66">
        <f t="shared" si="4"/>
        <v>125.4036899999488</v>
      </c>
      <c r="K66">
        <f t="shared" si="5"/>
        <v>0.48100000000340515</v>
      </c>
      <c r="L66">
        <f t="shared" si="6"/>
        <v>120.88011000085575</v>
      </c>
      <c r="M66">
        <f t="shared" si="7"/>
        <v>0.38399999999819556</v>
      </c>
      <c r="N66">
        <f t="shared" si="8"/>
        <v>96.50303999954653</v>
      </c>
      <c r="Q66">
        <v>6260.4560000000001</v>
      </c>
      <c r="R66">
        <v>6260.9170000000004</v>
      </c>
      <c r="S66">
        <v>6261.4269999999997</v>
      </c>
      <c r="T66">
        <v>6261.8969999999999</v>
      </c>
      <c r="U66">
        <v>6262.2969999999996</v>
      </c>
      <c r="W66">
        <f t="shared" si="9"/>
        <v>0.46100000000024011</v>
      </c>
      <c r="X66">
        <f t="shared" si="10"/>
        <v>115.16241000005998</v>
      </c>
      <c r="Y66">
        <f t="shared" si="16"/>
        <v>0.50999999999930878</v>
      </c>
      <c r="Z66">
        <f t="shared" si="11"/>
        <v>127.40309999982733</v>
      </c>
      <c r="AA66">
        <f t="shared" si="12"/>
        <v>0.47000000000025466</v>
      </c>
      <c r="AB66">
        <f t="shared" si="13"/>
        <v>117.41070000006361</v>
      </c>
      <c r="AC66">
        <f t="shared" si="14"/>
        <v>0.3999999999996362</v>
      </c>
      <c r="AD66">
        <f t="shared" si="15"/>
        <v>99.923999999909114</v>
      </c>
    </row>
    <row r="67" spans="1:30" x14ac:dyDescent="0.35">
      <c r="A67">
        <v>31448.474999999999</v>
      </c>
      <c r="B67">
        <v>31448.933000000001</v>
      </c>
      <c r="C67">
        <v>31449.420999999998</v>
      </c>
      <c r="D67">
        <v>31449.913</v>
      </c>
      <c r="E67">
        <v>31450.293000000001</v>
      </c>
      <c r="G67">
        <f t="shared" si="1"/>
        <v>0.45800000000235741</v>
      </c>
      <c r="H67">
        <f t="shared" si="2"/>
        <v>115.09998000059244</v>
      </c>
      <c r="I67">
        <f t="shared" si="3"/>
        <v>0.48799999999755528</v>
      </c>
      <c r="J67">
        <f t="shared" si="4"/>
        <v>122.63927999938562</v>
      </c>
      <c r="K67">
        <f t="shared" si="5"/>
        <v>0.49200000000200816</v>
      </c>
      <c r="L67">
        <f t="shared" si="6"/>
        <v>123.64452000050467</v>
      </c>
      <c r="M67">
        <f t="shared" si="7"/>
        <v>0.38000000000101863</v>
      </c>
      <c r="N67">
        <f t="shared" si="8"/>
        <v>95.497800000255992</v>
      </c>
      <c r="Q67">
        <v>6266.8469999999998</v>
      </c>
      <c r="R67">
        <v>6267.3019999999997</v>
      </c>
      <c r="S67">
        <v>6267.8019999999997</v>
      </c>
      <c r="T67">
        <v>6268.2719999999999</v>
      </c>
      <c r="U67">
        <v>6268.6710000000003</v>
      </c>
      <c r="W67">
        <f t="shared" si="9"/>
        <v>0.45499999999992724</v>
      </c>
      <c r="X67">
        <f t="shared" si="10"/>
        <v>113.66354999998183</v>
      </c>
      <c r="Y67">
        <f t="shared" ref="Y67:Y98" si="17">S67-R67</f>
        <v>0.5</v>
      </c>
      <c r="Z67">
        <f t="shared" si="11"/>
        <v>124.905</v>
      </c>
      <c r="AA67">
        <f t="shared" si="12"/>
        <v>0.47000000000025466</v>
      </c>
      <c r="AB67">
        <f t="shared" si="13"/>
        <v>117.41070000006361</v>
      </c>
      <c r="AC67">
        <f t="shared" si="14"/>
        <v>0.39900000000034197</v>
      </c>
      <c r="AD67">
        <f t="shared" si="15"/>
        <v>99.674190000085432</v>
      </c>
    </row>
    <row r="68" spans="1:30" x14ac:dyDescent="0.35">
      <c r="A68">
        <v>31449.563999999998</v>
      </c>
      <c r="B68">
        <v>31450.013999999999</v>
      </c>
      <c r="C68">
        <v>31450.512999999999</v>
      </c>
      <c r="D68">
        <v>31450.994999999999</v>
      </c>
      <c r="E68">
        <v>31451.379000000001</v>
      </c>
      <c r="G68">
        <f t="shared" ref="G68:G131" si="18">B68-A68</f>
        <v>0.4500000000007276</v>
      </c>
      <c r="H68">
        <f t="shared" ref="H68:H131" si="19">G68*251.31</f>
        <v>113.08950000018285</v>
      </c>
      <c r="I68">
        <f t="shared" ref="I68:I131" si="20">C68-B68</f>
        <v>0.49899999999979627</v>
      </c>
      <c r="J68">
        <f t="shared" ref="J68:J131" si="21">I68*251.31</f>
        <v>125.4036899999488</v>
      </c>
      <c r="K68">
        <f t="shared" ref="K68:K131" si="22">D68-C68</f>
        <v>0.4819999999999709</v>
      </c>
      <c r="L68">
        <f t="shared" ref="L68:L131" si="23">K68*251.31</f>
        <v>121.13141999999269</v>
      </c>
      <c r="M68">
        <f t="shared" ref="M68:M131" si="24">E68-D68</f>
        <v>0.38400000000183354</v>
      </c>
      <c r="N68">
        <f t="shared" ref="N68:N131" si="25">M68*251.31</f>
        <v>96.503040000460786</v>
      </c>
      <c r="Q68">
        <v>6273.2719999999999</v>
      </c>
      <c r="R68">
        <v>6273.7269999999999</v>
      </c>
      <c r="S68">
        <v>6274.2359999999999</v>
      </c>
      <c r="T68">
        <v>6274.7070000000003</v>
      </c>
      <c r="U68">
        <v>6275.1019999999999</v>
      </c>
      <c r="W68">
        <f t="shared" ref="W68:W131" si="26">R68-Q68</f>
        <v>0.45499999999992724</v>
      </c>
      <c r="X68">
        <f t="shared" ref="X68:X131" si="27">W68*249.81</f>
        <v>113.66354999998183</v>
      </c>
      <c r="Y68">
        <f t="shared" si="17"/>
        <v>0.50900000000001455</v>
      </c>
      <c r="Z68">
        <f t="shared" ref="Z68:Z131" si="28">Y68*249.81</f>
        <v>127.15329000000364</v>
      </c>
      <c r="AA68">
        <f t="shared" ref="AA68:AA131" si="29">T68-S68</f>
        <v>0.47100000000045839</v>
      </c>
      <c r="AB68">
        <f t="shared" ref="AB68:AB131" si="30">AA68*249.81</f>
        <v>117.66051000011451</v>
      </c>
      <c r="AC68">
        <f t="shared" ref="AC68:AC131" si="31">U68-T68</f>
        <v>0.39499999999952706</v>
      </c>
      <c r="AD68">
        <f t="shared" ref="AD68:AD131" si="32">AC68*249.81</f>
        <v>98.674949999881861</v>
      </c>
    </row>
    <row r="69" spans="1:30" x14ac:dyDescent="0.35">
      <c r="A69">
        <v>31450.651000000002</v>
      </c>
      <c r="B69">
        <v>31451.095000000001</v>
      </c>
      <c r="C69">
        <v>31451.594000000001</v>
      </c>
      <c r="D69">
        <v>31452.096000000001</v>
      </c>
      <c r="E69">
        <v>31452.462</v>
      </c>
      <c r="G69">
        <f t="shared" si="18"/>
        <v>0.44399999999950523</v>
      </c>
      <c r="H69">
        <f t="shared" si="19"/>
        <v>111.58163999987566</v>
      </c>
      <c r="I69">
        <f t="shared" si="20"/>
        <v>0.49899999999979627</v>
      </c>
      <c r="J69">
        <f t="shared" si="21"/>
        <v>125.4036899999488</v>
      </c>
      <c r="K69">
        <f t="shared" si="22"/>
        <v>0.50200000000040745</v>
      </c>
      <c r="L69">
        <f t="shared" si="23"/>
        <v>126.1576200001024</v>
      </c>
      <c r="M69">
        <f t="shared" si="24"/>
        <v>0.36599999999816646</v>
      </c>
      <c r="N69">
        <f t="shared" si="25"/>
        <v>91.979459999539216</v>
      </c>
      <c r="Q69">
        <v>6280.6210000000001</v>
      </c>
      <c r="R69">
        <v>6281.08</v>
      </c>
      <c r="S69">
        <v>6281.5889999999999</v>
      </c>
      <c r="T69">
        <v>6282.06</v>
      </c>
      <c r="U69">
        <v>6282.4589999999998</v>
      </c>
      <c r="W69">
        <f t="shared" si="26"/>
        <v>0.45899999999983265</v>
      </c>
      <c r="X69">
        <f t="shared" si="27"/>
        <v>114.66278999995819</v>
      </c>
      <c r="Y69">
        <f t="shared" si="17"/>
        <v>0.50900000000001455</v>
      </c>
      <c r="Z69">
        <f t="shared" si="28"/>
        <v>127.15329000000364</v>
      </c>
      <c r="AA69">
        <f t="shared" si="29"/>
        <v>0.47100000000045839</v>
      </c>
      <c r="AB69">
        <f t="shared" si="30"/>
        <v>117.66051000011451</v>
      </c>
      <c r="AC69">
        <f t="shared" si="31"/>
        <v>0.39899999999943248</v>
      </c>
      <c r="AD69">
        <f t="shared" si="32"/>
        <v>99.674189999858228</v>
      </c>
    </row>
    <row r="70" spans="1:30" x14ac:dyDescent="0.35">
      <c r="A70">
        <v>31451.74</v>
      </c>
      <c r="B70">
        <v>31452.187000000002</v>
      </c>
      <c r="C70">
        <v>31452.685000000001</v>
      </c>
      <c r="D70">
        <v>31453.167000000001</v>
      </c>
      <c r="E70">
        <v>31453.550999999999</v>
      </c>
      <c r="G70">
        <f t="shared" si="18"/>
        <v>0.44700000000011642</v>
      </c>
      <c r="H70">
        <f t="shared" si="19"/>
        <v>112.33557000002926</v>
      </c>
      <c r="I70">
        <f t="shared" si="20"/>
        <v>0.49799999999959255</v>
      </c>
      <c r="J70">
        <f t="shared" si="21"/>
        <v>125.1523799998976</v>
      </c>
      <c r="K70">
        <f t="shared" si="22"/>
        <v>0.4819999999999709</v>
      </c>
      <c r="L70">
        <f t="shared" si="23"/>
        <v>121.13141999999269</v>
      </c>
      <c r="M70">
        <f t="shared" si="24"/>
        <v>0.38399999999819556</v>
      </c>
      <c r="N70">
        <f t="shared" si="25"/>
        <v>96.50303999954653</v>
      </c>
      <c r="Q70">
        <v>6287.0529999999999</v>
      </c>
      <c r="R70">
        <v>6287.5330000000004</v>
      </c>
      <c r="S70">
        <v>6288.0119999999997</v>
      </c>
      <c r="T70">
        <v>6288.4939999999997</v>
      </c>
      <c r="U70">
        <v>6288.8879999999999</v>
      </c>
      <c r="W70">
        <f t="shared" si="26"/>
        <v>0.48000000000047294</v>
      </c>
      <c r="X70">
        <f t="shared" si="27"/>
        <v>119.90880000011815</v>
      </c>
      <c r="Y70">
        <f t="shared" si="17"/>
        <v>0.47899999999935972</v>
      </c>
      <c r="Z70">
        <f t="shared" si="28"/>
        <v>119.65898999984005</v>
      </c>
      <c r="AA70">
        <f t="shared" si="29"/>
        <v>0.4819999999999709</v>
      </c>
      <c r="AB70">
        <f t="shared" si="30"/>
        <v>120.40841999999273</v>
      </c>
      <c r="AC70">
        <f t="shared" si="31"/>
        <v>0.39400000000023283</v>
      </c>
      <c r="AD70">
        <f t="shared" si="32"/>
        <v>98.425140000058164</v>
      </c>
    </row>
    <row r="71" spans="1:30" x14ac:dyDescent="0.35">
      <c r="A71">
        <v>31452.828000000001</v>
      </c>
      <c r="B71">
        <v>31453.276999999998</v>
      </c>
      <c r="C71">
        <v>31453.776999999998</v>
      </c>
      <c r="D71">
        <v>31454.248</v>
      </c>
      <c r="E71">
        <v>31454.643</v>
      </c>
      <c r="G71">
        <f t="shared" si="18"/>
        <v>0.44899999999688589</v>
      </c>
      <c r="H71">
        <f t="shared" si="19"/>
        <v>112.83818999921739</v>
      </c>
      <c r="I71">
        <f t="shared" si="20"/>
        <v>0.5</v>
      </c>
      <c r="J71">
        <f t="shared" si="21"/>
        <v>125.655</v>
      </c>
      <c r="K71">
        <f t="shared" si="22"/>
        <v>0.47100000000136788</v>
      </c>
      <c r="L71">
        <f t="shared" si="23"/>
        <v>118.36701000034377</v>
      </c>
      <c r="M71">
        <f t="shared" si="24"/>
        <v>0.39500000000043656</v>
      </c>
      <c r="N71">
        <f t="shared" si="25"/>
        <v>99.267450000109719</v>
      </c>
      <c r="Q71">
        <v>6293.4440000000004</v>
      </c>
      <c r="R71">
        <v>6293.8869999999997</v>
      </c>
      <c r="S71">
        <v>6294.3959999999997</v>
      </c>
      <c r="T71">
        <v>6294.8760000000002</v>
      </c>
      <c r="U71">
        <v>6295.2669999999998</v>
      </c>
      <c r="W71">
        <f t="shared" si="26"/>
        <v>0.44299999999930151</v>
      </c>
      <c r="X71">
        <f t="shared" si="27"/>
        <v>110.6658299998255</v>
      </c>
      <c r="Y71">
        <f t="shared" si="17"/>
        <v>0.50900000000001455</v>
      </c>
      <c r="Z71">
        <f t="shared" si="28"/>
        <v>127.15329000000364</v>
      </c>
      <c r="AA71">
        <f t="shared" si="29"/>
        <v>0.48000000000047294</v>
      </c>
      <c r="AB71">
        <f t="shared" si="30"/>
        <v>119.90880000011815</v>
      </c>
      <c r="AC71">
        <f t="shared" si="31"/>
        <v>0.39099999999962165</v>
      </c>
      <c r="AD71">
        <f t="shared" si="32"/>
        <v>97.675709999905479</v>
      </c>
    </row>
    <row r="72" spans="1:30" x14ac:dyDescent="0.35">
      <c r="A72">
        <v>31453.916000000001</v>
      </c>
      <c r="B72">
        <v>31454.358</v>
      </c>
      <c r="C72">
        <v>31454.866999999998</v>
      </c>
      <c r="D72">
        <v>31455.338</v>
      </c>
      <c r="E72">
        <v>31455.735000000001</v>
      </c>
      <c r="G72">
        <f t="shared" si="18"/>
        <v>0.44199999999909778</v>
      </c>
      <c r="H72">
        <f t="shared" si="19"/>
        <v>111.07901999977327</v>
      </c>
      <c r="I72">
        <f t="shared" si="20"/>
        <v>0.50899999999819556</v>
      </c>
      <c r="J72">
        <f t="shared" si="21"/>
        <v>127.91678999954652</v>
      </c>
      <c r="K72">
        <f t="shared" si="22"/>
        <v>0.47100000000136788</v>
      </c>
      <c r="L72">
        <f t="shared" si="23"/>
        <v>118.36701000034377</v>
      </c>
      <c r="M72">
        <f t="shared" si="24"/>
        <v>0.39700000000084401</v>
      </c>
      <c r="N72">
        <f t="shared" si="25"/>
        <v>99.770070000212115</v>
      </c>
      <c r="Q72">
        <v>6299.87</v>
      </c>
      <c r="R72">
        <v>6300.33</v>
      </c>
      <c r="S72">
        <v>6300.8419999999996</v>
      </c>
      <c r="T72">
        <v>6301.3119999999999</v>
      </c>
      <c r="U72">
        <v>6301.71</v>
      </c>
      <c r="W72">
        <f t="shared" si="26"/>
        <v>0.46000000000003638</v>
      </c>
      <c r="X72">
        <f t="shared" si="27"/>
        <v>114.91260000000909</v>
      </c>
      <c r="Y72">
        <f t="shared" si="17"/>
        <v>0.51199999999971624</v>
      </c>
      <c r="Z72">
        <f t="shared" si="28"/>
        <v>127.90271999992912</v>
      </c>
      <c r="AA72">
        <f t="shared" si="29"/>
        <v>0.47000000000025466</v>
      </c>
      <c r="AB72">
        <f t="shared" si="30"/>
        <v>117.41070000006361</v>
      </c>
      <c r="AC72">
        <f t="shared" si="31"/>
        <v>0.39800000000013824</v>
      </c>
      <c r="AD72">
        <f t="shared" si="32"/>
        <v>99.424380000034532</v>
      </c>
    </row>
    <row r="73" spans="1:30" x14ac:dyDescent="0.35">
      <c r="A73">
        <v>31544.218000000001</v>
      </c>
      <c r="B73">
        <v>31544.656999999999</v>
      </c>
      <c r="C73">
        <v>31545.167000000001</v>
      </c>
      <c r="D73">
        <v>31545.657999999999</v>
      </c>
      <c r="E73">
        <v>31546.039000000001</v>
      </c>
      <c r="G73">
        <f t="shared" si="18"/>
        <v>0.4389999999984866</v>
      </c>
      <c r="H73">
        <f t="shared" si="19"/>
        <v>110.32508999961966</v>
      </c>
      <c r="I73">
        <f t="shared" si="20"/>
        <v>0.51000000000203727</v>
      </c>
      <c r="J73">
        <f t="shared" si="21"/>
        <v>128.168100000512</v>
      </c>
      <c r="K73">
        <f t="shared" si="22"/>
        <v>0.49099999999816646</v>
      </c>
      <c r="L73">
        <f t="shared" si="23"/>
        <v>123.39320999953921</v>
      </c>
      <c r="M73">
        <f t="shared" si="24"/>
        <v>0.38100000000122236</v>
      </c>
      <c r="N73">
        <f t="shared" si="25"/>
        <v>95.749110000307198</v>
      </c>
      <c r="Q73">
        <v>6306.2659999999996</v>
      </c>
      <c r="R73">
        <v>6306.7160000000003</v>
      </c>
      <c r="S73">
        <v>6307.2250000000004</v>
      </c>
      <c r="T73">
        <v>6307.6949999999997</v>
      </c>
      <c r="U73">
        <v>6308.0950000000003</v>
      </c>
      <c r="W73">
        <f t="shared" si="26"/>
        <v>0.4500000000007276</v>
      </c>
      <c r="X73">
        <f t="shared" si="27"/>
        <v>112.41450000018176</v>
      </c>
      <c r="Y73">
        <f t="shared" si="17"/>
        <v>0.50900000000001455</v>
      </c>
      <c r="Z73">
        <f t="shared" si="28"/>
        <v>127.15329000000364</v>
      </c>
      <c r="AA73">
        <f t="shared" si="29"/>
        <v>0.46999999999934516</v>
      </c>
      <c r="AB73">
        <f t="shared" si="30"/>
        <v>117.41069999983641</v>
      </c>
      <c r="AC73">
        <f t="shared" si="31"/>
        <v>0.4000000000005457</v>
      </c>
      <c r="AD73">
        <f t="shared" si="32"/>
        <v>99.924000000136317</v>
      </c>
    </row>
    <row r="74" spans="1:30" x14ac:dyDescent="0.35">
      <c r="A74">
        <v>31545.31</v>
      </c>
      <c r="B74">
        <v>31545.748</v>
      </c>
      <c r="C74">
        <v>31546.258000000002</v>
      </c>
      <c r="D74">
        <v>31546.739000000001</v>
      </c>
      <c r="E74">
        <v>31547.123</v>
      </c>
      <c r="G74">
        <f t="shared" si="18"/>
        <v>0.43799999999828287</v>
      </c>
      <c r="H74">
        <f t="shared" si="19"/>
        <v>110.07377999956847</v>
      </c>
      <c r="I74">
        <f t="shared" si="20"/>
        <v>0.51000000000203727</v>
      </c>
      <c r="J74">
        <f t="shared" si="21"/>
        <v>128.168100000512</v>
      </c>
      <c r="K74">
        <f t="shared" si="22"/>
        <v>0.48099999999976717</v>
      </c>
      <c r="L74">
        <f t="shared" si="23"/>
        <v>120.88010999994148</v>
      </c>
      <c r="M74">
        <f t="shared" si="24"/>
        <v>0.38399999999819556</v>
      </c>
      <c r="N74">
        <f t="shared" si="25"/>
        <v>96.50303999954653</v>
      </c>
      <c r="Q74">
        <v>6313.65</v>
      </c>
      <c r="R74">
        <v>6314.11</v>
      </c>
      <c r="S74">
        <v>6314.6189999999997</v>
      </c>
      <c r="T74">
        <v>6315.09</v>
      </c>
      <c r="U74">
        <v>6315.4849999999997</v>
      </c>
      <c r="W74">
        <f t="shared" si="26"/>
        <v>0.46000000000003638</v>
      </c>
      <c r="X74">
        <f t="shared" si="27"/>
        <v>114.91260000000909</v>
      </c>
      <c r="Y74">
        <f t="shared" si="17"/>
        <v>0.50900000000001455</v>
      </c>
      <c r="Z74">
        <f t="shared" si="28"/>
        <v>127.15329000000364</v>
      </c>
      <c r="AA74">
        <f t="shared" si="29"/>
        <v>0.47100000000045839</v>
      </c>
      <c r="AB74">
        <f t="shared" si="30"/>
        <v>117.66051000011451</v>
      </c>
      <c r="AC74">
        <f t="shared" si="31"/>
        <v>0.39499999999952706</v>
      </c>
      <c r="AD74">
        <f t="shared" si="32"/>
        <v>98.674949999881861</v>
      </c>
    </row>
    <row r="75" spans="1:30" x14ac:dyDescent="0.35">
      <c r="A75">
        <v>31546.394</v>
      </c>
      <c r="B75">
        <v>31546.83</v>
      </c>
      <c r="C75">
        <v>31547.339</v>
      </c>
      <c r="D75">
        <v>31547.83</v>
      </c>
      <c r="E75">
        <v>31548.21</v>
      </c>
      <c r="G75">
        <f t="shared" si="18"/>
        <v>0.4360000000015134</v>
      </c>
      <c r="H75">
        <f t="shared" si="19"/>
        <v>109.57116000038033</v>
      </c>
      <c r="I75">
        <f t="shared" si="20"/>
        <v>0.50899999999819556</v>
      </c>
      <c r="J75">
        <f t="shared" si="21"/>
        <v>127.91678999954652</v>
      </c>
      <c r="K75">
        <f t="shared" si="22"/>
        <v>0.49100000000180444</v>
      </c>
      <c r="L75">
        <f t="shared" si="23"/>
        <v>123.39321000045348</v>
      </c>
      <c r="M75">
        <f t="shared" si="24"/>
        <v>0.37999999999738066</v>
      </c>
      <c r="N75">
        <f t="shared" si="25"/>
        <v>95.497799999341737</v>
      </c>
      <c r="Q75">
        <v>6320.0259999999998</v>
      </c>
      <c r="R75">
        <v>6320.4830000000002</v>
      </c>
      <c r="S75">
        <v>6320.9920000000002</v>
      </c>
      <c r="T75">
        <v>6321.4629999999997</v>
      </c>
      <c r="U75">
        <v>6321.8609999999999</v>
      </c>
      <c r="W75">
        <f t="shared" si="26"/>
        <v>0.45700000000033469</v>
      </c>
      <c r="X75">
        <f t="shared" si="27"/>
        <v>114.16317000008361</v>
      </c>
      <c r="Y75">
        <f t="shared" si="17"/>
        <v>0.50900000000001455</v>
      </c>
      <c r="Z75">
        <f t="shared" si="28"/>
        <v>127.15329000000364</v>
      </c>
      <c r="AA75">
        <f t="shared" si="29"/>
        <v>0.47099999999954889</v>
      </c>
      <c r="AB75">
        <f t="shared" si="30"/>
        <v>117.66050999988731</v>
      </c>
      <c r="AC75">
        <f t="shared" si="31"/>
        <v>0.39800000000013824</v>
      </c>
      <c r="AD75">
        <f t="shared" si="32"/>
        <v>99.424380000034532</v>
      </c>
    </row>
    <row r="76" spans="1:30" x14ac:dyDescent="0.35">
      <c r="A76">
        <v>31547.483</v>
      </c>
      <c r="B76">
        <v>31547.932000000001</v>
      </c>
      <c r="C76">
        <v>31548.45</v>
      </c>
      <c r="D76">
        <v>31548.901000000002</v>
      </c>
      <c r="E76">
        <v>31549.296999999999</v>
      </c>
      <c r="G76">
        <f t="shared" si="18"/>
        <v>0.44900000000052387</v>
      </c>
      <c r="H76">
        <f t="shared" si="19"/>
        <v>112.83819000013166</v>
      </c>
      <c r="I76">
        <f t="shared" si="20"/>
        <v>0.5180000000000291</v>
      </c>
      <c r="J76">
        <f t="shared" si="21"/>
        <v>130.17858000000732</v>
      </c>
      <c r="K76">
        <f t="shared" si="22"/>
        <v>0.45100000000093132</v>
      </c>
      <c r="L76">
        <f t="shared" si="23"/>
        <v>113.34081000023406</v>
      </c>
      <c r="M76">
        <f t="shared" si="24"/>
        <v>0.39599999999700231</v>
      </c>
      <c r="N76">
        <f t="shared" si="25"/>
        <v>99.518759999246655</v>
      </c>
      <c r="Q76">
        <v>6326.4620000000004</v>
      </c>
      <c r="R76">
        <v>6326.9170000000004</v>
      </c>
      <c r="S76">
        <v>6327.415</v>
      </c>
      <c r="T76">
        <v>6327.8969999999999</v>
      </c>
      <c r="U76">
        <v>6328.29</v>
      </c>
      <c r="W76">
        <f t="shared" si="26"/>
        <v>0.45499999999992724</v>
      </c>
      <c r="X76">
        <f t="shared" si="27"/>
        <v>113.66354999998183</v>
      </c>
      <c r="Y76">
        <f t="shared" si="17"/>
        <v>0.49799999999959255</v>
      </c>
      <c r="Z76">
        <f t="shared" si="28"/>
        <v>124.40537999989822</v>
      </c>
      <c r="AA76">
        <f t="shared" si="29"/>
        <v>0.4819999999999709</v>
      </c>
      <c r="AB76">
        <f t="shared" si="30"/>
        <v>120.40841999999273</v>
      </c>
      <c r="AC76">
        <f t="shared" si="31"/>
        <v>0.3930000000000291</v>
      </c>
      <c r="AD76">
        <f t="shared" si="32"/>
        <v>98.175330000007278</v>
      </c>
    </row>
    <row r="77" spans="1:30" x14ac:dyDescent="0.35">
      <c r="A77">
        <v>31548.567999999999</v>
      </c>
      <c r="B77">
        <v>31549.011999999999</v>
      </c>
      <c r="C77">
        <v>31549.51</v>
      </c>
      <c r="D77">
        <v>31550.002</v>
      </c>
      <c r="E77">
        <v>31550.38</v>
      </c>
      <c r="G77">
        <f t="shared" si="18"/>
        <v>0.44399999999950523</v>
      </c>
      <c r="H77">
        <f t="shared" si="19"/>
        <v>111.58163999987566</v>
      </c>
      <c r="I77">
        <f t="shared" si="20"/>
        <v>0.49799999999959255</v>
      </c>
      <c r="J77">
        <f t="shared" si="21"/>
        <v>125.1523799998976</v>
      </c>
      <c r="K77">
        <f t="shared" si="22"/>
        <v>0.49200000000200816</v>
      </c>
      <c r="L77">
        <f t="shared" si="23"/>
        <v>123.64452000050467</v>
      </c>
      <c r="M77">
        <f t="shared" si="24"/>
        <v>0.37800000000061118</v>
      </c>
      <c r="N77">
        <f t="shared" si="25"/>
        <v>94.995180000153596</v>
      </c>
      <c r="Q77">
        <v>6332.8440000000001</v>
      </c>
      <c r="R77">
        <v>6333.3019999999997</v>
      </c>
      <c r="S77">
        <v>6333.8010000000004</v>
      </c>
      <c r="T77">
        <v>6334.2809999999999</v>
      </c>
      <c r="U77">
        <v>6334.6750000000002</v>
      </c>
      <c r="W77">
        <f t="shared" si="26"/>
        <v>0.45799999999962893</v>
      </c>
      <c r="X77">
        <f t="shared" si="27"/>
        <v>114.41297999990731</v>
      </c>
      <c r="Y77">
        <f t="shared" si="17"/>
        <v>0.49900000000070577</v>
      </c>
      <c r="Z77">
        <f t="shared" si="28"/>
        <v>124.6551900001763</v>
      </c>
      <c r="AA77">
        <f t="shared" si="29"/>
        <v>0.47999999999956344</v>
      </c>
      <c r="AB77">
        <f t="shared" si="30"/>
        <v>119.90879999989095</v>
      </c>
      <c r="AC77">
        <f t="shared" si="31"/>
        <v>0.39400000000023283</v>
      </c>
      <c r="AD77">
        <f t="shared" si="32"/>
        <v>98.425140000058164</v>
      </c>
    </row>
    <row r="78" spans="1:30" x14ac:dyDescent="0.35">
      <c r="A78">
        <v>31549.655999999999</v>
      </c>
      <c r="B78">
        <v>31550.103999999999</v>
      </c>
      <c r="C78">
        <v>31550.602999999999</v>
      </c>
      <c r="D78">
        <v>31551.083999999999</v>
      </c>
      <c r="E78">
        <v>31551.471000000001</v>
      </c>
      <c r="G78">
        <f t="shared" si="18"/>
        <v>0.44800000000032014</v>
      </c>
      <c r="H78">
        <f t="shared" si="19"/>
        <v>112.58688000008046</v>
      </c>
      <c r="I78">
        <f t="shared" si="20"/>
        <v>0.49899999999979627</v>
      </c>
      <c r="J78">
        <f t="shared" si="21"/>
        <v>125.4036899999488</v>
      </c>
      <c r="K78">
        <f t="shared" si="22"/>
        <v>0.48099999999976717</v>
      </c>
      <c r="L78">
        <f t="shared" si="23"/>
        <v>120.88010999994148</v>
      </c>
      <c r="M78">
        <f t="shared" si="24"/>
        <v>0.38700000000244472</v>
      </c>
      <c r="N78">
        <f t="shared" si="25"/>
        <v>97.256970000614388</v>
      </c>
      <c r="Q78">
        <v>6339.2150000000001</v>
      </c>
      <c r="R78">
        <v>6339.6750000000002</v>
      </c>
      <c r="S78">
        <v>6340.1850000000004</v>
      </c>
      <c r="T78">
        <v>6340.6549999999997</v>
      </c>
      <c r="U78">
        <v>6341.0469999999996</v>
      </c>
      <c r="W78">
        <f t="shared" si="26"/>
        <v>0.46000000000003638</v>
      </c>
      <c r="X78">
        <f t="shared" si="27"/>
        <v>114.91260000000909</v>
      </c>
      <c r="Y78">
        <f t="shared" si="17"/>
        <v>0.51000000000021828</v>
      </c>
      <c r="Z78">
        <f t="shared" si="28"/>
        <v>127.40310000005454</v>
      </c>
      <c r="AA78">
        <f t="shared" si="29"/>
        <v>0.46999999999934516</v>
      </c>
      <c r="AB78">
        <f t="shared" si="30"/>
        <v>117.41069999983641</v>
      </c>
      <c r="AC78">
        <f t="shared" si="31"/>
        <v>0.39199999999982538</v>
      </c>
      <c r="AD78">
        <f t="shared" si="32"/>
        <v>97.925519999956379</v>
      </c>
    </row>
    <row r="79" spans="1:30" x14ac:dyDescent="0.35">
      <c r="A79">
        <v>31550.743999999999</v>
      </c>
      <c r="B79">
        <v>31551.192999999999</v>
      </c>
      <c r="C79">
        <v>31551.692999999999</v>
      </c>
      <c r="D79">
        <v>31552.173999999999</v>
      </c>
      <c r="E79">
        <v>31552.563999999998</v>
      </c>
      <c r="G79">
        <f t="shared" si="18"/>
        <v>0.44900000000052387</v>
      </c>
      <c r="H79">
        <f t="shared" si="19"/>
        <v>112.83819000013166</v>
      </c>
      <c r="I79">
        <f t="shared" si="20"/>
        <v>0.5</v>
      </c>
      <c r="J79">
        <f t="shared" si="21"/>
        <v>125.655</v>
      </c>
      <c r="K79">
        <f t="shared" si="22"/>
        <v>0.48099999999976717</v>
      </c>
      <c r="L79">
        <f t="shared" si="23"/>
        <v>120.88010999994148</v>
      </c>
      <c r="M79">
        <f t="shared" si="24"/>
        <v>0.38999999999941792</v>
      </c>
      <c r="N79">
        <f t="shared" si="25"/>
        <v>98.01089999985372</v>
      </c>
      <c r="Q79">
        <v>6346.598</v>
      </c>
      <c r="R79">
        <v>6347.058</v>
      </c>
      <c r="S79">
        <v>6347.56</v>
      </c>
      <c r="T79">
        <v>6348.0280000000002</v>
      </c>
      <c r="U79">
        <v>6348.4290000000001</v>
      </c>
      <c r="W79">
        <f t="shared" si="26"/>
        <v>0.46000000000003638</v>
      </c>
      <c r="X79">
        <f t="shared" si="27"/>
        <v>114.91260000000909</v>
      </c>
      <c r="Y79">
        <f t="shared" si="17"/>
        <v>0.50200000000040745</v>
      </c>
      <c r="Z79">
        <f t="shared" si="28"/>
        <v>125.40462000010179</v>
      </c>
      <c r="AA79">
        <f t="shared" si="29"/>
        <v>0.4679999999998472</v>
      </c>
      <c r="AB79">
        <f t="shared" si="30"/>
        <v>116.91107999996183</v>
      </c>
      <c r="AC79">
        <f t="shared" si="31"/>
        <v>0.40099999999983993</v>
      </c>
      <c r="AD79">
        <f t="shared" si="32"/>
        <v>100.17380999996001</v>
      </c>
    </row>
    <row r="80" spans="1:30" x14ac:dyDescent="0.35">
      <c r="A80">
        <v>31551.831999999999</v>
      </c>
      <c r="B80">
        <v>31552.264999999999</v>
      </c>
      <c r="C80">
        <v>31552.774000000001</v>
      </c>
      <c r="D80">
        <v>31553.244999999999</v>
      </c>
      <c r="E80">
        <v>31553.636999999999</v>
      </c>
      <c r="G80">
        <f t="shared" si="18"/>
        <v>0.43300000000090222</v>
      </c>
      <c r="H80">
        <f t="shared" si="19"/>
        <v>108.81723000022674</v>
      </c>
      <c r="I80">
        <f t="shared" si="20"/>
        <v>0.50900000000183354</v>
      </c>
      <c r="J80">
        <f t="shared" si="21"/>
        <v>127.91679000046079</v>
      </c>
      <c r="K80">
        <f t="shared" si="22"/>
        <v>0.4709999999977299</v>
      </c>
      <c r="L80">
        <f t="shared" si="23"/>
        <v>118.3670099994295</v>
      </c>
      <c r="M80">
        <f t="shared" si="24"/>
        <v>0.39199999999982538</v>
      </c>
      <c r="N80">
        <f t="shared" si="25"/>
        <v>98.513519999956117</v>
      </c>
      <c r="Q80">
        <v>6354.3190000000004</v>
      </c>
      <c r="R80">
        <v>6354.8440000000001</v>
      </c>
      <c r="S80">
        <v>6355.3440000000001</v>
      </c>
      <c r="T80">
        <v>6355.8239999999996</v>
      </c>
      <c r="U80">
        <v>6356.2190000000001</v>
      </c>
      <c r="W80">
        <f t="shared" si="26"/>
        <v>0.5249999999996362</v>
      </c>
      <c r="X80">
        <f t="shared" si="27"/>
        <v>131.15024999990911</v>
      </c>
      <c r="Y80">
        <f t="shared" si="17"/>
        <v>0.5</v>
      </c>
      <c r="Z80">
        <f t="shared" si="28"/>
        <v>124.905</v>
      </c>
      <c r="AA80">
        <f t="shared" si="29"/>
        <v>0.47999999999956344</v>
      </c>
      <c r="AB80">
        <f t="shared" si="30"/>
        <v>119.90879999989095</v>
      </c>
      <c r="AC80">
        <f t="shared" si="31"/>
        <v>0.39500000000043656</v>
      </c>
      <c r="AD80">
        <f t="shared" si="32"/>
        <v>98.674950000109064</v>
      </c>
    </row>
    <row r="81" spans="1:30" x14ac:dyDescent="0.35">
      <c r="A81">
        <v>31552.92</v>
      </c>
      <c r="B81">
        <v>31553.377</v>
      </c>
      <c r="C81">
        <v>31553.865000000002</v>
      </c>
      <c r="D81">
        <v>31554.346000000001</v>
      </c>
      <c r="E81">
        <v>31554.733</v>
      </c>
      <c r="G81">
        <f t="shared" si="18"/>
        <v>0.45700000000215368</v>
      </c>
      <c r="H81">
        <f t="shared" si="19"/>
        <v>114.84867000054125</v>
      </c>
      <c r="I81">
        <f t="shared" si="20"/>
        <v>0.48800000000119326</v>
      </c>
      <c r="J81">
        <f t="shared" si="21"/>
        <v>122.63928000029988</v>
      </c>
      <c r="K81">
        <f t="shared" si="22"/>
        <v>0.48099999999976717</v>
      </c>
      <c r="L81">
        <f t="shared" si="23"/>
        <v>120.88010999994148</v>
      </c>
      <c r="M81">
        <f t="shared" si="24"/>
        <v>0.38699999999880674</v>
      </c>
      <c r="N81">
        <f t="shared" si="25"/>
        <v>97.256969999700118</v>
      </c>
      <c r="Q81">
        <v>6360.8019999999997</v>
      </c>
      <c r="R81">
        <v>6361.2579999999998</v>
      </c>
      <c r="S81">
        <v>6361.7669999999998</v>
      </c>
      <c r="T81">
        <v>6362.2470000000003</v>
      </c>
      <c r="U81">
        <v>6362.64</v>
      </c>
      <c r="W81">
        <f t="shared" si="26"/>
        <v>0.45600000000013097</v>
      </c>
      <c r="X81">
        <f t="shared" si="27"/>
        <v>113.91336000003272</v>
      </c>
      <c r="Y81">
        <f t="shared" si="17"/>
        <v>0.50900000000001455</v>
      </c>
      <c r="Z81">
        <f t="shared" si="28"/>
        <v>127.15329000000364</v>
      </c>
      <c r="AA81">
        <f t="shared" si="29"/>
        <v>0.48000000000047294</v>
      </c>
      <c r="AB81">
        <f t="shared" si="30"/>
        <v>119.90880000011815</v>
      </c>
      <c r="AC81">
        <f t="shared" si="31"/>
        <v>0.3930000000000291</v>
      </c>
      <c r="AD81">
        <f t="shared" si="32"/>
        <v>98.175330000007278</v>
      </c>
    </row>
    <row r="82" spans="1:30" x14ac:dyDescent="0.35">
      <c r="A82">
        <v>31554.007000000001</v>
      </c>
      <c r="B82">
        <v>31554.476999999999</v>
      </c>
      <c r="C82">
        <v>31554.956999999999</v>
      </c>
      <c r="D82">
        <v>31555.425999999999</v>
      </c>
      <c r="E82">
        <v>31555.82</v>
      </c>
      <c r="G82">
        <f t="shared" si="18"/>
        <v>0.46999999999752617</v>
      </c>
      <c r="H82">
        <f t="shared" si="19"/>
        <v>118.11569999937831</v>
      </c>
      <c r="I82">
        <f t="shared" si="20"/>
        <v>0.47999999999956344</v>
      </c>
      <c r="J82">
        <f t="shared" si="21"/>
        <v>120.62879999989029</v>
      </c>
      <c r="K82">
        <f t="shared" si="22"/>
        <v>0.46900000000096043</v>
      </c>
      <c r="L82">
        <f t="shared" si="23"/>
        <v>117.86439000024137</v>
      </c>
      <c r="M82">
        <f t="shared" si="24"/>
        <v>0.39400000000023283</v>
      </c>
      <c r="N82">
        <f t="shared" si="25"/>
        <v>99.016140000058513</v>
      </c>
      <c r="Q82">
        <v>6367.1930000000002</v>
      </c>
      <c r="R82">
        <v>6367.6530000000002</v>
      </c>
      <c r="S82">
        <v>6368.1530000000002</v>
      </c>
      <c r="T82">
        <v>6368.6329999999998</v>
      </c>
      <c r="U82">
        <v>6369.0249999999996</v>
      </c>
      <c r="W82">
        <f t="shared" si="26"/>
        <v>0.46000000000003638</v>
      </c>
      <c r="X82">
        <f t="shared" si="27"/>
        <v>114.91260000000909</v>
      </c>
      <c r="Y82">
        <f t="shared" si="17"/>
        <v>0.5</v>
      </c>
      <c r="Z82">
        <f t="shared" si="28"/>
        <v>124.905</v>
      </c>
      <c r="AA82">
        <f t="shared" si="29"/>
        <v>0.47999999999956344</v>
      </c>
      <c r="AB82">
        <f t="shared" si="30"/>
        <v>119.90879999989095</v>
      </c>
      <c r="AC82">
        <f t="shared" si="31"/>
        <v>0.39199999999982538</v>
      </c>
      <c r="AD82">
        <f t="shared" si="32"/>
        <v>97.925519999956379</v>
      </c>
    </row>
    <row r="83" spans="1:30" x14ac:dyDescent="0.35">
      <c r="A83">
        <v>31555.095000000001</v>
      </c>
      <c r="B83">
        <v>31555.547999999999</v>
      </c>
      <c r="C83">
        <v>31556.037</v>
      </c>
      <c r="D83">
        <v>31556.518</v>
      </c>
      <c r="E83">
        <v>31556.905999999999</v>
      </c>
      <c r="G83">
        <f t="shared" si="18"/>
        <v>0.4529999999977008</v>
      </c>
      <c r="H83">
        <f t="shared" si="19"/>
        <v>113.84342999942218</v>
      </c>
      <c r="I83">
        <f t="shared" si="20"/>
        <v>0.48900000000139698</v>
      </c>
      <c r="J83">
        <f t="shared" si="21"/>
        <v>122.89059000035108</v>
      </c>
      <c r="K83">
        <f t="shared" si="22"/>
        <v>0.48099999999976717</v>
      </c>
      <c r="L83">
        <f t="shared" si="23"/>
        <v>120.88010999994148</v>
      </c>
      <c r="M83">
        <f t="shared" si="24"/>
        <v>0.38799999999901047</v>
      </c>
      <c r="N83">
        <f t="shared" si="25"/>
        <v>97.508279999751323</v>
      </c>
      <c r="Q83">
        <v>6373.6260000000002</v>
      </c>
      <c r="R83">
        <v>6374.0780000000004</v>
      </c>
      <c r="S83">
        <v>6374.5879999999997</v>
      </c>
      <c r="T83">
        <v>6375.07</v>
      </c>
      <c r="U83">
        <v>6375.4589999999998</v>
      </c>
      <c r="W83">
        <f t="shared" si="26"/>
        <v>0.45200000000022555</v>
      </c>
      <c r="X83">
        <f t="shared" si="27"/>
        <v>112.91412000005634</v>
      </c>
      <c r="Y83">
        <f t="shared" si="17"/>
        <v>0.50999999999930878</v>
      </c>
      <c r="Z83">
        <f t="shared" si="28"/>
        <v>127.40309999982733</v>
      </c>
      <c r="AA83">
        <f t="shared" si="29"/>
        <v>0.4819999999999709</v>
      </c>
      <c r="AB83">
        <f t="shared" si="30"/>
        <v>120.40841999999273</v>
      </c>
      <c r="AC83">
        <f t="shared" si="31"/>
        <v>0.38900000000012369</v>
      </c>
      <c r="AD83">
        <f t="shared" si="32"/>
        <v>97.176090000030896</v>
      </c>
    </row>
    <row r="84" spans="1:30" x14ac:dyDescent="0.35">
      <c r="A84">
        <v>31556.185000000001</v>
      </c>
      <c r="B84">
        <v>31556.618999999999</v>
      </c>
      <c r="C84">
        <v>31557.128000000001</v>
      </c>
      <c r="D84">
        <v>31557.608</v>
      </c>
      <c r="E84">
        <v>31557.995999999999</v>
      </c>
      <c r="G84">
        <f t="shared" si="18"/>
        <v>0.43399999999746797</v>
      </c>
      <c r="H84">
        <f t="shared" si="19"/>
        <v>109.06853999936368</v>
      </c>
      <c r="I84">
        <f t="shared" si="20"/>
        <v>0.50900000000183354</v>
      </c>
      <c r="J84">
        <f t="shared" si="21"/>
        <v>127.91679000046079</v>
      </c>
      <c r="K84">
        <f t="shared" si="22"/>
        <v>0.47999999999956344</v>
      </c>
      <c r="L84">
        <f t="shared" si="23"/>
        <v>120.62879999989029</v>
      </c>
      <c r="M84">
        <f t="shared" si="24"/>
        <v>0.38799999999901047</v>
      </c>
      <c r="N84">
        <f t="shared" si="25"/>
        <v>97.508279999751323</v>
      </c>
      <c r="Q84">
        <v>6380.9560000000001</v>
      </c>
      <c r="R84">
        <v>6381.402</v>
      </c>
      <c r="S84">
        <v>6381.9110000000001</v>
      </c>
      <c r="T84">
        <v>6382.3919999999998</v>
      </c>
      <c r="U84">
        <v>6382.7870000000003</v>
      </c>
      <c r="W84">
        <f t="shared" si="26"/>
        <v>0.44599999999991269</v>
      </c>
      <c r="X84">
        <f t="shared" si="27"/>
        <v>111.41525999997819</v>
      </c>
      <c r="Y84">
        <f t="shared" si="17"/>
        <v>0.50900000000001455</v>
      </c>
      <c r="Z84">
        <f t="shared" si="28"/>
        <v>127.15329000000364</v>
      </c>
      <c r="AA84">
        <f t="shared" si="29"/>
        <v>0.48099999999976717</v>
      </c>
      <c r="AB84">
        <f t="shared" si="30"/>
        <v>120.15860999994183</v>
      </c>
      <c r="AC84">
        <f t="shared" si="31"/>
        <v>0.39500000000043656</v>
      </c>
      <c r="AD84">
        <f t="shared" si="32"/>
        <v>98.674950000109064</v>
      </c>
    </row>
    <row r="85" spans="1:30" x14ac:dyDescent="0.35">
      <c r="A85">
        <v>31565.951000000001</v>
      </c>
      <c r="B85">
        <v>31566.383999999998</v>
      </c>
      <c r="C85">
        <v>31566.894</v>
      </c>
      <c r="D85">
        <v>31567.386999999999</v>
      </c>
      <c r="E85">
        <v>31567.763999999999</v>
      </c>
      <c r="G85">
        <f t="shared" si="18"/>
        <v>0.43299999999726424</v>
      </c>
      <c r="H85">
        <f t="shared" si="19"/>
        <v>108.81722999931247</v>
      </c>
      <c r="I85">
        <f t="shared" si="20"/>
        <v>0.51000000000203727</v>
      </c>
      <c r="J85">
        <f t="shared" si="21"/>
        <v>128.168100000512</v>
      </c>
      <c r="K85">
        <f t="shared" si="22"/>
        <v>0.49299999999857391</v>
      </c>
      <c r="L85">
        <f t="shared" si="23"/>
        <v>123.89582999964161</v>
      </c>
      <c r="M85">
        <f t="shared" si="24"/>
        <v>0.37700000000040745</v>
      </c>
      <c r="N85">
        <f t="shared" si="25"/>
        <v>94.743870000102405</v>
      </c>
      <c r="Q85">
        <v>6387.3419999999996</v>
      </c>
      <c r="R85">
        <v>6387.7870000000003</v>
      </c>
      <c r="S85">
        <v>6388.2960000000003</v>
      </c>
      <c r="T85">
        <v>6388.7759999999998</v>
      </c>
      <c r="U85">
        <v>6389.1679999999997</v>
      </c>
      <c r="W85">
        <f t="shared" si="26"/>
        <v>0.44500000000061846</v>
      </c>
      <c r="X85">
        <f t="shared" si="27"/>
        <v>111.16545000015449</v>
      </c>
      <c r="Y85">
        <f t="shared" si="17"/>
        <v>0.50900000000001455</v>
      </c>
      <c r="Z85">
        <f t="shared" si="28"/>
        <v>127.15329000000364</v>
      </c>
      <c r="AA85">
        <f t="shared" si="29"/>
        <v>0.47999999999956344</v>
      </c>
      <c r="AB85">
        <f t="shared" si="30"/>
        <v>119.90879999989095</v>
      </c>
      <c r="AC85">
        <f t="shared" si="31"/>
        <v>0.39199999999982538</v>
      </c>
      <c r="AD85">
        <f t="shared" si="32"/>
        <v>97.925519999956379</v>
      </c>
    </row>
    <row r="86" spans="1:30" x14ac:dyDescent="0.35">
      <c r="A86">
        <v>31567.042000000001</v>
      </c>
      <c r="B86">
        <v>31567.487000000001</v>
      </c>
      <c r="C86">
        <v>31567.986000000001</v>
      </c>
      <c r="D86">
        <v>31568.467000000001</v>
      </c>
      <c r="E86">
        <v>31568.850999999999</v>
      </c>
      <c r="G86">
        <f t="shared" si="18"/>
        <v>0.44499999999970896</v>
      </c>
      <c r="H86">
        <f t="shared" si="19"/>
        <v>111.83294999992685</v>
      </c>
      <c r="I86">
        <f t="shared" si="20"/>
        <v>0.49899999999979627</v>
      </c>
      <c r="J86">
        <f t="shared" si="21"/>
        <v>125.4036899999488</v>
      </c>
      <c r="K86">
        <f t="shared" si="22"/>
        <v>0.48099999999976717</v>
      </c>
      <c r="L86">
        <f t="shared" si="23"/>
        <v>120.88010999994148</v>
      </c>
      <c r="M86">
        <f t="shared" si="24"/>
        <v>0.38399999999819556</v>
      </c>
      <c r="N86">
        <f t="shared" si="25"/>
        <v>96.50303999954653</v>
      </c>
      <c r="Q86">
        <v>6393.768</v>
      </c>
      <c r="R86">
        <v>6394.2290000000003</v>
      </c>
      <c r="S86">
        <v>6394.7389999999996</v>
      </c>
      <c r="T86">
        <v>6395.2089999999998</v>
      </c>
      <c r="U86">
        <v>6395.607</v>
      </c>
      <c r="W86">
        <f t="shared" si="26"/>
        <v>0.46100000000024011</v>
      </c>
      <c r="X86">
        <f t="shared" si="27"/>
        <v>115.16241000005998</v>
      </c>
      <c r="Y86">
        <f t="shared" si="17"/>
        <v>0.50999999999930878</v>
      </c>
      <c r="Z86">
        <f t="shared" si="28"/>
        <v>127.40309999982733</v>
      </c>
      <c r="AA86">
        <f t="shared" si="29"/>
        <v>0.47000000000025466</v>
      </c>
      <c r="AB86">
        <f t="shared" si="30"/>
        <v>117.41070000006361</v>
      </c>
      <c r="AC86">
        <f t="shared" si="31"/>
        <v>0.39800000000013824</v>
      </c>
      <c r="AD86">
        <f t="shared" si="32"/>
        <v>99.424380000034532</v>
      </c>
    </row>
    <row r="87" spans="1:30" x14ac:dyDescent="0.35">
      <c r="A87">
        <v>31568.127</v>
      </c>
      <c r="B87">
        <v>31568.566999999999</v>
      </c>
      <c r="C87">
        <v>31569.076000000001</v>
      </c>
      <c r="D87">
        <v>31569.565999999999</v>
      </c>
      <c r="E87">
        <v>31569.944</v>
      </c>
      <c r="G87">
        <f t="shared" si="18"/>
        <v>0.43999999999869033</v>
      </c>
      <c r="H87">
        <f t="shared" si="19"/>
        <v>110.57639999967087</v>
      </c>
      <c r="I87">
        <f t="shared" si="20"/>
        <v>0.50900000000183354</v>
      </c>
      <c r="J87">
        <f t="shared" si="21"/>
        <v>127.91679000046079</v>
      </c>
      <c r="K87">
        <f t="shared" si="22"/>
        <v>0.48999999999796273</v>
      </c>
      <c r="L87">
        <f t="shared" si="23"/>
        <v>123.14189999948802</v>
      </c>
      <c r="M87">
        <f t="shared" si="24"/>
        <v>0.37800000000061118</v>
      </c>
      <c r="N87">
        <f t="shared" si="25"/>
        <v>94.995180000153596</v>
      </c>
      <c r="Q87">
        <v>6400.1580000000004</v>
      </c>
      <c r="R87">
        <v>6400.6139999999996</v>
      </c>
      <c r="S87">
        <v>6401.1229999999996</v>
      </c>
      <c r="T87">
        <v>6401.5940000000001</v>
      </c>
      <c r="U87">
        <v>6401.9880000000003</v>
      </c>
      <c r="W87">
        <f t="shared" si="26"/>
        <v>0.45599999999922147</v>
      </c>
      <c r="X87">
        <f t="shared" si="27"/>
        <v>113.91335999980552</v>
      </c>
      <c r="Y87">
        <f t="shared" si="17"/>
        <v>0.50900000000001455</v>
      </c>
      <c r="Z87">
        <f t="shared" si="28"/>
        <v>127.15329000000364</v>
      </c>
      <c r="AA87">
        <f t="shared" si="29"/>
        <v>0.47100000000045839</v>
      </c>
      <c r="AB87">
        <f t="shared" si="30"/>
        <v>117.66051000011451</v>
      </c>
      <c r="AC87">
        <f t="shared" si="31"/>
        <v>0.39400000000023283</v>
      </c>
      <c r="AD87">
        <f t="shared" si="32"/>
        <v>98.425140000058164</v>
      </c>
    </row>
    <row r="88" spans="1:30" x14ac:dyDescent="0.35">
      <c r="A88">
        <v>31569.215</v>
      </c>
      <c r="B88">
        <v>31569.648000000001</v>
      </c>
      <c r="C88">
        <v>31570.156999999999</v>
      </c>
      <c r="D88">
        <v>31570.636999999999</v>
      </c>
      <c r="E88">
        <v>31571.024000000001</v>
      </c>
      <c r="G88">
        <f t="shared" si="18"/>
        <v>0.43300000000090222</v>
      </c>
      <c r="H88">
        <f t="shared" si="19"/>
        <v>108.81723000022674</v>
      </c>
      <c r="I88">
        <f t="shared" si="20"/>
        <v>0.50899999999819556</v>
      </c>
      <c r="J88">
        <f t="shared" si="21"/>
        <v>127.91678999954652</v>
      </c>
      <c r="K88">
        <f t="shared" si="22"/>
        <v>0.47999999999956344</v>
      </c>
      <c r="L88">
        <f t="shared" si="23"/>
        <v>120.62879999989029</v>
      </c>
      <c r="M88">
        <f t="shared" si="24"/>
        <v>0.38700000000244472</v>
      </c>
      <c r="N88">
        <f t="shared" si="25"/>
        <v>97.256970000614388</v>
      </c>
      <c r="Q88">
        <v>6406.59</v>
      </c>
      <c r="R88">
        <v>6407.049</v>
      </c>
      <c r="S88">
        <v>6407.549</v>
      </c>
      <c r="T88">
        <v>6408.0309999999999</v>
      </c>
      <c r="U88">
        <v>6408.42</v>
      </c>
      <c r="W88">
        <f t="shared" si="26"/>
        <v>0.45899999999983265</v>
      </c>
      <c r="X88">
        <f t="shared" si="27"/>
        <v>114.66278999995819</v>
      </c>
      <c r="Y88">
        <f t="shared" si="17"/>
        <v>0.5</v>
      </c>
      <c r="Z88">
        <f t="shared" si="28"/>
        <v>124.905</v>
      </c>
      <c r="AA88">
        <f t="shared" si="29"/>
        <v>0.4819999999999709</v>
      </c>
      <c r="AB88">
        <f t="shared" si="30"/>
        <v>120.40841999999273</v>
      </c>
      <c r="AC88" s="22">
        <f t="shared" si="31"/>
        <v>0.38900000000012369</v>
      </c>
      <c r="AD88" s="22">
        <f t="shared" si="32"/>
        <v>97.176090000030896</v>
      </c>
    </row>
    <row r="89" spans="1:30" x14ac:dyDescent="0.35">
      <c r="A89">
        <v>31570.300999999999</v>
      </c>
      <c r="B89">
        <v>31570.758999999998</v>
      </c>
      <c r="C89">
        <v>31571.246999999999</v>
      </c>
      <c r="D89">
        <v>31571.728999999999</v>
      </c>
      <c r="E89">
        <v>31572.116000000002</v>
      </c>
      <c r="G89">
        <f t="shared" si="18"/>
        <v>0.45799999999871943</v>
      </c>
      <c r="H89">
        <f t="shared" si="19"/>
        <v>115.09997999967818</v>
      </c>
      <c r="I89">
        <f t="shared" si="20"/>
        <v>0.48800000000119326</v>
      </c>
      <c r="J89">
        <f t="shared" si="21"/>
        <v>122.63928000029988</v>
      </c>
      <c r="K89">
        <f t="shared" si="22"/>
        <v>0.4819999999999709</v>
      </c>
      <c r="L89">
        <f t="shared" si="23"/>
        <v>121.13141999999269</v>
      </c>
      <c r="M89">
        <f t="shared" si="24"/>
        <v>0.38700000000244472</v>
      </c>
      <c r="N89">
        <f t="shared" si="25"/>
        <v>97.256970000614388</v>
      </c>
      <c r="Q89">
        <v>7401.0360000000001</v>
      </c>
      <c r="R89">
        <v>7401.4960000000001</v>
      </c>
      <c r="S89">
        <v>7401.9960000000001</v>
      </c>
      <c r="T89">
        <v>7402.4759999999997</v>
      </c>
      <c r="U89">
        <v>7402.866</v>
      </c>
      <c r="W89">
        <f t="shared" si="26"/>
        <v>0.46000000000003638</v>
      </c>
      <c r="X89">
        <f t="shared" si="27"/>
        <v>114.91260000000909</v>
      </c>
      <c r="Y89">
        <f t="shared" si="17"/>
        <v>0.5</v>
      </c>
      <c r="Z89">
        <f t="shared" si="28"/>
        <v>124.905</v>
      </c>
      <c r="AA89">
        <f t="shared" si="29"/>
        <v>0.47999999999956344</v>
      </c>
      <c r="AB89">
        <f t="shared" si="30"/>
        <v>119.90879999989095</v>
      </c>
      <c r="AC89">
        <f t="shared" si="31"/>
        <v>0.39000000000032742</v>
      </c>
      <c r="AD89">
        <f t="shared" si="32"/>
        <v>97.425900000081796</v>
      </c>
    </row>
    <row r="90" spans="1:30" x14ac:dyDescent="0.35">
      <c r="A90">
        <v>31571.392</v>
      </c>
      <c r="B90">
        <v>31571.841</v>
      </c>
      <c r="C90">
        <v>31572.339</v>
      </c>
      <c r="D90">
        <v>31572.822</v>
      </c>
      <c r="E90">
        <v>31573.208999999999</v>
      </c>
      <c r="G90">
        <f t="shared" si="18"/>
        <v>0.44900000000052387</v>
      </c>
      <c r="H90">
        <f t="shared" si="19"/>
        <v>112.83819000013166</v>
      </c>
      <c r="I90">
        <f t="shared" si="20"/>
        <v>0.49799999999959255</v>
      </c>
      <c r="J90">
        <f t="shared" si="21"/>
        <v>125.1523799998976</v>
      </c>
      <c r="K90">
        <f t="shared" si="22"/>
        <v>0.48300000000017462</v>
      </c>
      <c r="L90">
        <f t="shared" si="23"/>
        <v>121.38273000004389</v>
      </c>
      <c r="M90">
        <f t="shared" si="24"/>
        <v>0.38699999999880674</v>
      </c>
      <c r="N90">
        <f t="shared" si="25"/>
        <v>97.256969999700118</v>
      </c>
      <c r="Q90">
        <v>7407.4520000000002</v>
      </c>
      <c r="R90">
        <v>7407.902</v>
      </c>
      <c r="S90">
        <v>7408.4110000000001</v>
      </c>
      <c r="T90">
        <v>7408.8909999999996</v>
      </c>
      <c r="U90">
        <v>7409.2870000000003</v>
      </c>
      <c r="W90">
        <f t="shared" si="26"/>
        <v>0.4499999999998181</v>
      </c>
      <c r="X90">
        <f t="shared" si="27"/>
        <v>112.41449999995456</v>
      </c>
      <c r="Y90">
        <f t="shared" si="17"/>
        <v>0.50900000000001455</v>
      </c>
      <c r="Z90">
        <f t="shared" si="28"/>
        <v>127.15329000000364</v>
      </c>
      <c r="AA90">
        <f t="shared" si="29"/>
        <v>0.47999999999956344</v>
      </c>
      <c r="AB90">
        <f t="shared" si="30"/>
        <v>119.90879999989095</v>
      </c>
      <c r="AC90">
        <f t="shared" si="31"/>
        <v>0.39600000000064028</v>
      </c>
      <c r="AD90">
        <f t="shared" si="32"/>
        <v>98.924760000159949</v>
      </c>
    </row>
    <row r="91" spans="1:30" x14ac:dyDescent="0.35">
      <c r="A91">
        <v>31572.482</v>
      </c>
      <c r="B91">
        <v>31572.932000000001</v>
      </c>
      <c r="C91">
        <v>31573.43</v>
      </c>
      <c r="D91">
        <v>31573.912</v>
      </c>
      <c r="E91">
        <v>31574.297999999999</v>
      </c>
      <c r="G91">
        <f t="shared" si="18"/>
        <v>0.4500000000007276</v>
      </c>
      <c r="H91">
        <f t="shared" si="19"/>
        <v>113.08950000018285</v>
      </c>
      <c r="I91">
        <f t="shared" si="20"/>
        <v>0.49799999999959255</v>
      </c>
      <c r="J91">
        <f t="shared" si="21"/>
        <v>125.1523799998976</v>
      </c>
      <c r="K91">
        <f t="shared" si="22"/>
        <v>0.4819999999999709</v>
      </c>
      <c r="L91">
        <f t="shared" si="23"/>
        <v>121.13141999999269</v>
      </c>
      <c r="M91">
        <f t="shared" si="24"/>
        <v>0.38599999999860302</v>
      </c>
      <c r="N91">
        <f t="shared" si="25"/>
        <v>97.005659999648927</v>
      </c>
      <c r="Q91">
        <v>7414.79</v>
      </c>
      <c r="R91">
        <v>7415.2340000000004</v>
      </c>
      <c r="S91">
        <v>7415.7439999999997</v>
      </c>
      <c r="T91">
        <v>7416.2240000000002</v>
      </c>
      <c r="U91">
        <v>7416.6189999999997</v>
      </c>
      <c r="W91">
        <f t="shared" si="26"/>
        <v>0.44400000000041473</v>
      </c>
      <c r="X91">
        <f t="shared" si="27"/>
        <v>110.91564000010361</v>
      </c>
      <c r="Y91">
        <f t="shared" si="17"/>
        <v>0.50999999999930878</v>
      </c>
      <c r="Z91">
        <f t="shared" si="28"/>
        <v>127.40309999982733</v>
      </c>
      <c r="AA91">
        <f t="shared" si="29"/>
        <v>0.48000000000047294</v>
      </c>
      <c r="AB91">
        <f t="shared" si="30"/>
        <v>119.90880000011815</v>
      </c>
      <c r="AC91">
        <f t="shared" si="31"/>
        <v>0.39499999999952706</v>
      </c>
      <c r="AD91">
        <f t="shared" si="32"/>
        <v>98.674949999881861</v>
      </c>
    </row>
    <row r="92" spans="1:30" x14ac:dyDescent="0.35">
      <c r="A92">
        <v>31573.567999999999</v>
      </c>
      <c r="B92">
        <v>31574.004000000001</v>
      </c>
      <c r="C92">
        <v>31574.523000000001</v>
      </c>
      <c r="D92">
        <v>31575.001</v>
      </c>
      <c r="E92">
        <v>31575.385999999999</v>
      </c>
      <c r="G92">
        <f t="shared" si="18"/>
        <v>0.4360000000015134</v>
      </c>
      <c r="H92">
        <f t="shared" si="19"/>
        <v>109.57116000038033</v>
      </c>
      <c r="I92">
        <f t="shared" si="20"/>
        <v>0.51900000000023283</v>
      </c>
      <c r="J92">
        <f t="shared" si="21"/>
        <v>130.42989000005852</v>
      </c>
      <c r="K92">
        <f t="shared" si="22"/>
        <v>0.47799999999915599</v>
      </c>
      <c r="L92">
        <f t="shared" si="23"/>
        <v>120.12617999978789</v>
      </c>
      <c r="M92">
        <f t="shared" si="24"/>
        <v>0.38499999999839929</v>
      </c>
      <c r="N92">
        <f t="shared" si="25"/>
        <v>96.754349999597721</v>
      </c>
      <c r="Q92">
        <v>7421.18</v>
      </c>
      <c r="R92">
        <v>7421.6390000000001</v>
      </c>
      <c r="S92">
        <v>7422.15</v>
      </c>
      <c r="T92">
        <v>7422.6189999999997</v>
      </c>
      <c r="U92">
        <v>7423.0129999999999</v>
      </c>
      <c r="W92">
        <f t="shared" si="26"/>
        <v>0.45899999999983265</v>
      </c>
      <c r="X92">
        <f t="shared" si="27"/>
        <v>114.66278999995819</v>
      </c>
      <c r="Y92">
        <f t="shared" si="17"/>
        <v>0.51099999999951251</v>
      </c>
      <c r="Z92">
        <f t="shared" si="28"/>
        <v>127.65290999987822</v>
      </c>
      <c r="AA92">
        <f t="shared" si="29"/>
        <v>0.46900000000005093</v>
      </c>
      <c r="AB92">
        <f t="shared" si="30"/>
        <v>117.16089000001273</v>
      </c>
      <c r="AC92">
        <f t="shared" si="31"/>
        <v>0.39400000000023283</v>
      </c>
      <c r="AD92">
        <f t="shared" si="32"/>
        <v>98.425140000058164</v>
      </c>
    </row>
    <row r="93" spans="1:30" x14ac:dyDescent="0.35">
      <c r="A93">
        <v>31574.657999999999</v>
      </c>
      <c r="B93">
        <v>31575.124</v>
      </c>
      <c r="C93">
        <v>31575.601999999999</v>
      </c>
      <c r="D93">
        <v>31576.081999999999</v>
      </c>
      <c r="E93">
        <v>31576.469000000001</v>
      </c>
      <c r="G93">
        <f t="shared" si="18"/>
        <v>0.46600000000034925</v>
      </c>
      <c r="H93">
        <f t="shared" si="19"/>
        <v>117.11046000008777</v>
      </c>
      <c r="I93">
        <f t="shared" si="20"/>
        <v>0.47799999999915599</v>
      </c>
      <c r="J93">
        <f t="shared" si="21"/>
        <v>120.12617999978789</v>
      </c>
      <c r="K93">
        <f t="shared" si="22"/>
        <v>0.47999999999956344</v>
      </c>
      <c r="L93">
        <f t="shared" si="23"/>
        <v>120.62879999989029</v>
      </c>
      <c r="M93">
        <f t="shared" si="24"/>
        <v>0.38700000000244472</v>
      </c>
      <c r="N93">
        <f t="shared" si="25"/>
        <v>97.256970000614388</v>
      </c>
      <c r="Q93">
        <v>7427.6059999999998</v>
      </c>
      <c r="R93">
        <v>7428.0609999999997</v>
      </c>
      <c r="S93">
        <v>7428.5720000000001</v>
      </c>
      <c r="T93">
        <v>7429.0420000000004</v>
      </c>
      <c r="U93">
        <v>7429.4409999999998</v>
      </c>
      <c r="W93">
        <f t="shared" si="26"/>
        <v>0.45499999999992724</v>
      </c>
      <c r="X93">
        <f t="shared" si="27"/>
        <v>113.66354999998183</v>
      </c>
      <c r="Y93">
        <f t="shared" si="17"/>
        <v>0.51100000000042201</v>
      </c>
      <c r="Z93">
        <f t="shared" si="28"/>
        <v>127.65291000010542</v>
      </c>
      <c r="AA93">
        <f t="shared" si="29"/>
        <v>0.47000000000025466</v>
      </c>
      <c r="AB93">
        <f t="shared" si="30"/>
        <v>117.41070000006361</v>
      </c>
      <c r="AC93">
        <f t="shared" si="31"/>
        <v>0.39899999999943248</v>
      </c>
      <c r="AD93">
        <f t="shared" si="32"/>
        <v>99.674189999858228</v>
      </c>
    </row>
    <row r="94" spans="1:30" x14ac:dyDescent="0.35">
      <c r="A94">
        <v>31575.748</v>
      </c>
      <c r="B94">
        <v>31576.194</v>
      </c>
      <c r="C94">
        <v>31576.694</v>
      </c>
      <c r="D94">
        <v>31577.185000000001</v>
      </c>
      <c r="E94">
        <v>31577.57</v>
      </c>
      <c r="G94">
        <f t="shared" si="18"/>
        <v>0.44599999999991269</v>
      </c>
      <c r="H94">
        <f t="shared" si="19"/>
        <v>112.08425999997806</v>
      </c>
      <c r="I94">
        <f t="shared" si="20"/>
        <v>0.5</v>
      </c>
      <c r="J94">
        <f t="shared" si="21"/>
        <v>125.655</v>
      </c>
      <c r="K94">
        <f t="shared" si="22"/>
        <v>0.49100000000180444</v>
      </c>
      <c r="L94">
        <f t="shared" si="23"/>
        <v>123.39321000045348</v>
      </c>
      <c r="M94">
        <f t="shared" si="24"/>
        <v>0.38499999999839929</v>
      </c>
      <c r="N94">
        <f t="shared" si="25"/>
        <v>96.754349999597721</v>
      </c>
      <c r="Q94">
        <v>7433.9989999999998</v>
      </c>
      <c r="R94">
        <v>7434.4769999999999</v>
      </c>
      <c r="S94">
        <v>7434.9660000000003</v>
      </c>
      <c r="T94">
        <v>7435.4369999999999</v>
      </c>
      <c r="U94">
        <v>7435.83</v>
      </c>
      <c r="W94">
        <f t="shared" si="26"/>
        <v>0.47800000000006548</v>
      </c>
      <c r="X94">
        <f t="shared" si="27"/>
        <v>119.40918000001636</v>
      </c>
      <c r="Y94">
        <f t="shared" si="17"/>
        <v>0.48900000000048749</v>
      </c>
      <c r="Z94">
        <f t="shared" si="28"/>
        <v>122.15709000012178</v>
      </c>
      <c r="AA94">
        <f t="shared" si="29"/>
        <v>0.47099999999954889</v>
      </c>
      <c r="AB94">
        <f t="shared" si="30"/>
        <v>117.66050999988731</v>
      </c>
      <c r="AC94">
        <f t="shared" si="31"/>
        <v>0.3930000000000291</v>
      </c>
      <c r="AD94">
        <f t="shared" si="32"/>
        <v>98.175330000007278</v>
      </c>
    </row>
    <row r="95" spans="1:30" x14ac:dyDescent="0.35">
      <c r="A95">
        <v>31576.837</v>
      </c>
      <c r="B95">
        <v>31577.285</v>
      </c>
      <c r="C95">
        <v>31577.784</v>
      </c>
      <c r="D95">
        <v>31578.273000000001</v>
      </c>
      <c r="E95">
        <v>31578.65</v>
      </c>
      <c r="G95">
        <f t="shared" si="18"/>
        <v>0.44800000000032014</v>
      </c>
      <c r="H95">
        <f t="shared" si="19"/>
        <v>112.58688000008046</v>
      </c>
      <c r="I95">
        <f t="shared" si="20"/>
        <v>0.49899999999979627</v>
      </c>
      <c r="J95">
        <f t="shared" si="21"/>
        <v>125.4036899999488</v>
      </c>
      <c r="K95">
        <f t="shared" si="22"/>
        <v>0.48900000000139698</v>
      </c>
      <c r="L95">
        <f t="shared" si="23"/>
        <v>122.89059000035108</v>
      </c>
      <c r="M95">
        <f t="shared" si="24"/>
        <v>0.37700000000040745</v>
      </c>
      <c r="N95">
        <f t="shared" si="25"/>
        <v>94.743870000102405</v>
      </c>
      <c r="Q95">
        <v>7440.4229999999998</v>
      </c>
      <c r="R95">
        <v>7440.8810000000003</v>
      </c>
      <c r="S95">
        <v>7441.3819999999996</v>
      </c>
      <c r="T95">
        <v>7441.86</v>
      </c>
      <c r="U95">
        <v>7442.2529999999997</v>
      </c>
      <c r="W95">
        <f t="shared" si="26"/>
        <v>0.45800000000053842</v>
      </c>
      <c r="X95">
        <f t="shared" si="27"/>
        <v>114.41298000013451</v>
      </c>
      <c r="Y95">
        <f t="shared" si="17"/>
        <v>0.50099999999929423</v>
      </c>
      <c r="Z95">
        <f t="shared" si="28"/>
        <v>125.1548099998237</v>
      </c>
      <c r="AA95">
        <f t="shared" si="29"/>
        <v>0.47800000000006548</v>
      </c>
      <c r="AB95">
        <f t="shared" si="30"/>
        <v>119.40918000001636</v>
      </c>
      <c r="AC95">
        <f t="shared" si="31"/>
        <v>0.3930000000000291</v>
      </c>
      <c r="AD95">
        <f t="shared" si="32"/>
        <v>98.175330000007278</v>
      </c>
    </row>
    <row r="96" spans="1:30" x14ac:dyDescent="0.35">
      <c r="A96">
        <v>31577.925999999999</v>
      </c>
      <c r="B96">
        <v>31578.375</v>
      </c>
      <c r="C96">
        <v>31578.874</v>
      </c>
      <c r="D96">
        <v>31579.346000000001</v>
      </c>
      <c r="E96">
        <v>31579.743999999999</v>
      </c>
      <c r="G96">
        <f t="shared" si="18"/>
        <v>0.44900000000052387</v>
      </c>
      <c r="H96">
        <f t="shared" si="19"/>
        <v>112.83819000013166</v>
      </c>
      <c r="I96">
        <f t="shared" si="20"/>
        <v>0.49899999999979627</v>
      </c>
      <c r="J96">
        <f t="shared" si="21"/>
        <v>125.4036899999488</v>
      </c>
      <c r="K96">
        <f t="shared" si="22"/>
        <v>0.47200000000157161</v>
      </c>
      <c r="L96">
        <f t="shared" si="23"/>
        <v>118.61832000039496</v>
      </c>
      <c r="M96">
        <f t="shared" si="24"/>
        <v>0.39799999999740976</v>
      </c>
      <c r="N96">
        <f t="shared" si="25"/>
        <v>100.02137999934905</v>
      </c>
      <c r="Q96">
        <v>7447.7749999999996</v>
      </c>
      <c r="R96">
        <v>7448.2349999999997</v>
      </c>
      <c r="S96">
        <v>7448.7449999999999</v>
      </c>
      <c r="T96">
        <v>7449.2150000000001</v>
      </c>
      <c r="U96">
        <v>7449.6120000000001</v>
      </c>
      <c r="W96">
        <f t="shared" si="26"/>
        <v>0.46000000000003638</v>
      </c>
      <c r="X96">
        <f t="shared" si="27"/>
        <v>114.91260000000909</v>
      </c>
      <c r="Y96">
        <f t="shared" si="17"/>
        <v>0.51000000000021828</v>
      </c>
      <c r="Z96">
        <f t="shared" si="28"/>
        <v>127.40310000005454</v>
      </c>
      <c r="AA96">
        <f t="shared" si="29"/>
        <v>0.47000000000025466</v>
      </c>
      <c r="AB96">
        <f t="shared" si="30"/>
        <v>117.41070000006361</v>
      </c>
      <c r="AC96">
        <f t="shared" si="31"/>
        <v>0.39699999999993452</v>
      </c>
      <c r="AD96">
        <f t="shared" si="32"/>
        <v>99.174569999983646</v>
      </c>
    </row>
    <row r="97" spans="1:30" x14ac:dyDescent="0.35">
      <c r="A97">
        <v>31579.014999999999</v>
      </c>
      <c r="B97">
        <v>31579.465</v>
      </c>
      <c r="C97">
        <v>31579.965</v>
      </c>
      <c r="D97">
        <v>31580.456999999999</v>
      </c>
      <c r="E97">
        <v>31580.831999999999</v>
      </c>
      <c r="G97">
        <f t="shared" si="18"/>
        <v>0.4500000000007276</v>
      </c>
      <c r="H97">
        <f t="shared" si="19"/>
        <v>113.08950000018285</v>
      </c>
      <c r="I97">
        <f t="shared" si="20"/>
        <v>0.5</v>
      </c>
      <c r="J97">
        <f t="shared" si="21"/>
        <v>125.655</v>
      </c>
      <c r="K97">
        <f t="shared" si="22"/>
        <v>0.49199999999837019</v>
      </c>
      <c r="L97">
        <f t="shared" si="23"/>
        <v>123.64451999959041</v>
      </c>
      <c r="M97">
        <f t="shared" si="24"/>
        <v>0.375</v>
      </c>
      <c r="N97">
        <f t="shared" si="25"/>
        <v>94.241250000000008</v>
      </c>
      <c r="Q97">
        <v>7454.1949999999997</v>
      </c>
      <c r="R97">
        <v>7454.6379999999999</v>
      </c>
      <c r="S97">
        <v>7455.1469999999999</v>
      </c>
      <c r="T97">
        <v>7455.6260000000002</v>
      </c>
      <c r="U97">
        <v>7456.0209999999997</v>
      </c>
      <c r="W97">
        <f t="shared" si="26"/>
        <v>0.443000000000211</v>
      </c>
      <c r="X97">
        <f t="shared" si="27"/>
        <v>110.66583000005271</v>
      </c>
      <c r="Y97">
        <f t="shared" si="17"/>
        <v>0.50900000000001455</v>
      </c>
      <c r="Z97">
        <f t="shared" si="28"/>
        <v>127.15329000000364</v>
      </c>
      <c r="AA97">
        <f t="shared" si="29"/>
        <v>0.47900000000026921</v>
      </c>
      <c r="AB97">
        <f t="shared" si="30"/>
        <v>119.65899000006725</v>
      </c>
      <c r="AC97">
        <f t="shared" si="31"/>
        <v>0.39499999999952706</v>
      </c>
      <c r="AD97">
        <f t="shared" si="32"/>
        <v>98.674949999881861</v>
      </c>
    </row>
    <row r="98" spans="1:30" x14ac:dyDescent="0.35">
      <c r="A98">
        <v>31580.102999999999</v>
      </c>
      <c r="B98">
        <v>31580.546999999999</v>
      </c>
      <c r="C98">
        <v>31581.046999999999</v>
      </c>
      <c r="D98">
        <v>31581.517</v>
      </c>
      <c r="E98">
        <v>31581.915000000001</v>
      </c>
      <c r="G98">
        <f t="shared" si="18"/>
        <v>0.44399999999950523</v>
      </c>
      <c r="H98">
        <f t="shared" si="19"/>
        <v>111.58163999987566</v>
      </c>
      <c r="I98">
        <f t="shared" si="20"/>
        <v>0.5</v>
      </c>
      <c r="J98">
        <f t="shared" si="21"/>
        <v>125.655</v>
      </c>
      <c r="K98">
        <f t="shared" si="22"/>
        <v>0.47000000000116415</v>
      </c>
      <c r="L98">
        <f t="shared" si="23"/>
        <v>118.11570000029256</v>
      </c>
      <c r="M98">
        <f t="shared" si="24"/>
        <v>0.39800000000104774</v>
      </c>
      <c r="N98">
        <f t="shared" si="25"/>
        <v>100.02138000026331</v>
      </c>
      <c r="Q98">
        <v>7460.5640000000003</v>
      </c>
      <c r="R98">
        <v>7461.0190000000002</v>
      </c>
      <c r="S98">
        <v>7461.53</v>
      </c>
      <c r="T98">
        <v>7462</v>
      </c>
      <c r="U98">
        <v>7462.4</v>
      </c>
      <c r="W98">
        <f t="shared" si="26"/>
        <v>0.45499999999992724</v>
      </c>
      <c r="X98">
        <f t="shared" si="27"/>
        <v>113.66354999998183</v>
      </c>
      <c r="Y98">
        <f t="shared" si="17"/>
        <v>0.51099999999951251</v>
      </c>
      <c r="Z98">
        <f t="shared" si="28"/>
        <v>127.65290999987822</v>
      </c>
      <c r="AA98">
        <f t="shared" si="29"/>
        <v>0.47000000000025466</v>
      </c>
      <c r="AB98">
        <f t="shared" si="30"/>
        <v>117.41070000006361</v>
      </c>
      <c r="AC98">
        <f t="shared" si="31"/>
        <v>0.3999999999996362</v>
      </c>
      <c r="AD98">
        <f t="shared" si="32"/>
        <v>99.923999999909114</v>
      </c>
    </row>
    <row r="99" spans="1:30" x14ac:dyDescent="0.35">
      <c r="A99">
        <v>31581.190999999999</v>
      </c>
      <c r="B99">
        <v>31581.636999999999</v>
      </c>
      <c r="C99">
        <v>31582.136999999999</v>
      </c>
      <c r="D99">
        <v>31582.616999999998</v>
      </c>
      <c r="E99">
        <v>31583.004000000001</v>
      </c>
      <c r="G99">
        <f t="shared" si="18"/>
        <v>0.44599999999991269</v>
      </c>
      <c r="H99">
        <f t="shared" si="19"/>
        <v>112.08425999997806</v>
      </c>
      <c r="I99">
        <f t="shared" si="20"/>
        <v>0.5</v>
      </c>
      <c r="J99">
        <f t="shared" si="21"/>
        <v>125.655</v>
      </c>
      <c r="K99">
        <f t="shared" si="22"/>
        <v>0.47999999999956344</v>
      </c>
      <c r="L99">
        <f t="shared" si="23"/>
        <v>120.62879999989029</v>
      </c>
      <c r="M99">
        <f t="shared" si="24"/>
        <v>0.38700000000244472</v>
      </c>
      <c r="N99">
        <f t="shared" si="25"/>
        <v>97.256970000614388</v>
      </c>
      <c r="Q99">
        <v>7466.9830000000002</v>
      </c>
      <c r="R99">
        <v>7467.4440000000004</v>
      </c>
      <c r="S99">
        <v>7467.9449999999997</v>
      </c>
      <c r="T99">
        <v>7468.424</v>
      </c>
      <c r="U99">
        <v>7468.8190000000004</v>
      </c>
      <c r="W99">
        <f t="shared" si="26"/>
        <v>0.46100000000024011</v>
      </c>
      <c r="X99">
        <f t="shared" si="27"/>
        <v>115.16241000005998</v>
      </c>
      <c r="Y99">
        <f t="shared" ref="Y99:Y130" si="33">S99-R99</f>
        <v>0.50099999999929423</v>
      </c>
      <c r="Z99">
        <f t="shared" si="28"/>
        <v>125.1548099998237</v>
      </c>
      <c r="AA99">
        <f t="shared" si="29"/>
        <v>0.47900000000026921</v>
      </c>
      <c r="AB99">
        <f t="shared" si="30"/>
        <v>119.65899000006725</v>
      </c>
      <c r="AC99">
        <f t="shared" si="31"/>
        <v>0.39500000000043656</v>
      </c>
      <c r="AD99">
        <f t="shared" si="32"/>
        <v>98.674950000109064</v>
      </c>
    </row>
    <row r="100" spans="1:30" x14ac:dyDescent="0.35">
      <c r="A100">
        <v>31582.277999999998</v>
      </c>
      <c r="B100">
        <v>31582.718000000001</v>
      </c>
      <c r="C100">
        <v>31583.225999999999</v>
      </c>
      <c r="D100">
        <v>31583.699000000001</v>
      </c>
      <c r="E100">
        <v>31584.095000000001</v>
      </c>
      <c r="G100">
        <f t="shared" si="18"/>
        <v>0.44000000000232831</v>
      </c>
      <c r="H100">
        <f t="shared" si="19"/>
        <v>110.57640000058512</v>
      </c>
      <c r="I100">
        <f t="shared" si="20"/>
        <v>0.50799999999799184</v>
      </c>
      <c r="J100">
        <f t="shared" si="21"/>
        <v>127.66547999949533</v>
      </c>
      <c r="K100">
        <f t="shared" si="22"/>
        <v>0.47300000000177533</v>
      </c>
      <c r="L100">
        <f t="shared" si="23"/>
        <v>118.86963000044616</v>
      </c>
      <c r="M100">
        <f t="shared" si="24"/>
        <v>0.39600000000064028</v>
      </c>
      <c r="N100">
        <f t="shared" si="25"/>
        <v>99.51876000016091</v>
      </c>
      <c r="Q100">
        <v>7473.3649999999998</v>
      </c>
      <c r="R100">
        <v>7473.8190000000004</v>
      </c>
      <c r="S100">
        <v>7474.3289999999997</v>
      </c>
      <c r="T100">
        <v>7474.799</v>
      </c>
      <c r="U100">
        <v>7475.1970000000001</v>
      </c>
      <c r="W100">
        <f t="shared" si="26"/>
        <v>0.45400000000063301</v>
      </c>
      <c r="X100">
        <f t="shared" si="27"/>
        <v>113.41374000015813</v>
      </c>
      <c r="Y100">
        <f t="shared" si="33"/>
        <v>0.50999999999930878</v>
      </c>
      <c r="Z100">
        <f t="shared" si="28"/>
        <v>127.40309999982733</v>
      </c>
      <c r="AA100">
        <f t="shared" si="29"/>
        <v>0.47000000000025466</v>
      </c>
      <c r="AB100">
        <f t="shared" si="30"/>
        <v>117.41070000006361</v>
      </c>
      <c r="AC100">
        <f t="shared" si="31"/>
        <v>0.39800000000013824</v>
      </c>
      <c r="AD100">
        <f t="shared" si="32"/>
        <v>99.424380000034532</v>
      </c>
    </row>
    <row r="101" spans="1:30" x14ac:dyDescent="0.35">
      <c r="A101">
        <v>31583.366999999998</v>
      </c>
      <c r="B101">
        <v>31583.828000000001</v>
      </c>
      <c r="C101">
        <v>31584.317999999999</v>
      </c>
      <c r="D101">
        <v>31584.798999999999</v>
      </c>
      <c r="E101">
        <v>31585.187000000002</v>
      </c>
      <c r="G101">
        <f t="shared" si="18"/>
        <v>0.46100000000296859</v>
      </c>
      <c r="H101">
        <f t="shared" si="19"/>
        <v>115.85391000074604</v>
      </c>
      <c r="I101">
        <f t="shared" si="20"/>
        <v>0.48999999999796273</v>
      </c>
      <c r="J101">
        <f t="shared" si="21"/>
        <v>123.14189999948802</v>
      </c>
      <c r="K101">
        <f t="shared" si="22"/>
        <v>0.48099999999976717</v>
      </c>
      <c r="L101">
        <f t="shared" si="23"/>
        <v>120.88010999994148</v>
      </c>
      <c r="M101">
        <f t="shared" si="24"/>
        <v>0.38800000000264845</v>
      </c>
      <c r="N101">
        <f t="shared" si="25"/>
        <v>97.508280000665579</v>
      </c>
      <c r="Q101">
        <v>7480.6949999999997</v>
      </c>
      <c r="R101">
        <v>7481.1540000000005</v>
      </c>
      <c r="S101">
        <v>7481.652</v>
      </c>
      <c r="T101">
        <v>7482.1210000000001</v>
      </c>
      <c r="U101">
        <v>7482.5240000000003</v>
      </c>
      <c r="W101">
        <f t="shared" si="26"/>
        <v>0.45900000000074215</v>
      </c>
      <c r="X101">
        <f t="shared" si="27"/>
        <v>114.6627900001854</v>
      </c>
      <c r="Y101">
        <f t="shared" si="33"/>
        <v>0.49799999999959255</v>
      </c>
      <c r="Z101">
        <f t="shared" si="28"/>
        <v>124.40537999989822</v>
      </c>
      <c r="AA101">
        <f t="shared" si="29"/>
        <v>0.46900000000005093</v>
      </c>
      <c r="AB101">
        <f t="shared" si="30"/>
        <v>117.16089000001273</v>
      </c>
      <c r="AC101">
        <f t="shared" si="31"/>
        <v>0.40300000000024738</v>
      </c>
      <c r="AD101">
        <f t="shared" si="32"/>
        <v>100.6734300000618</v>
      </c>
    </row>
    <row r="102" spans="1:30" x14ac:dyDescent="0.35">
      <c r="A102">
        <v>31584.455000000002</v>
      </c>
      <c r="B102">
        <v>31584.9</v>
      </c>
      <c r="C102">
        <v>31585.409</v>
      </c>
      <c r="D102">
        <v>31585.887999999999</v>
      </c>
      <c r="E102">
        <v>31586.268</v>
      </c>
      <c r="G102">
        <f t="shared" si="18"/>
        <v>0.44499999999970896</v>
      </c>
      <c r="H102">
        <f t="shared" si="19"/>
        <v>111.83294999992685</v>
      </c>
      <c r="I102">
        <f t="shared" si="20"/>
        <v>0.50899999999819556</v>
      </c>
      <c r="J102">
        <f t="shared" si="21"/>
        <v>127.91678999954652</v>
      </c>
      <c r="K102">
        <f t="shared" si="22"/>
        <v>0.47899999999935972</v>
      </c>
      <c r="L102">
        <f t="shared" si="23"/>
        <v>120.37748999983909</v>
      </c>
      <c r="M102">
        <f t="shared" si="24"/>
        <v>0.38000000000101863</v>
      </c>
      <c r="N102">
        <f t="shared" si="25"/>
        <v>95.497800000255992</v>
      </c>
      <c r="Q102">
        <v>7487.0789999999997</v>
      </c>
      <c r="R102">
        <v>7487.527</v>
      </c>
      <c r="S102">
        <v>7488.0360000000001</v>
      </c>
      <c r="T102">
        <v>7488.5169999999998</v>
      </c>
      <c r="U102">
        <v>7488.91</v>
      </c>
      <c r="W102">
        <f t="shared" si="26"/>
        <v>0.44800000000032014</v>
      </c>
      <c r="X102">
        <f t="shared" si="27"/>
        <v>111.91488000007998</v>
      </c>
      <c r="Y102">
        <f t="shared" si="33"/>
        <v>0.50900000000001455</v>
      </c>
      <c r="Z102">
        <f t="shared" si="28"/>
        <v>127.15329000000364</v>
      </c>
      <c r="AA102">
        <f t="shared" si="29"/>
        <v>0.48099999999976717</v>
      </c>
      <c r="AB102">
        <f t="shared" si="30"/>
        <v>120.15860999994183</v>
      </c>
      <c r="AC102">
        <f t="shared" si="31"/>
        <v>0.3930000000000291</v>
      </c>
      <c r="AD102">
        <f t="shared" si="32"/>
        <v>98.175330000007278</v>
      </c>
    </row>
    <row r="103" spans="1:30" x14ac:dyDescent="0.35">
      <c r="A103">
        <v>31585.543000000001</v>
      </c>
      <c r="B103">
        <v>31585.991000000002</v>
      </c>
      <c r="C103">
        <v>31586.489000000001</v>
      </c>
      <c r="D103">
        <v>31586.97</v>
      </c>
      <c r="E103">
        <v>31587.357</v>
      </c>
      <c r="G103">
        <f t="shared" si="18"/>
        <v>0.44800000000032014</v>
      </c>
      <c r="H103">
        <f t="shared" si="19"/>
        <v>112.58688000008046</v>
      </c>
      <c r="I103">
        <f t="shared" si="20"/>
        <v>0.49799999999959255</v>
      </c>
      <c r="J103">
        <f t="shared" si="21"/>
        <v>125.1523799998976</v>
      </c>
      <c r="K103">
        <f t="shared" si="22"/>
        <v>0.48099999999976717</v>
      </c>
      <c r="L103">
        <f t="shared" si="23"/>
        <v>120.88010999994148</v>
      </c>
      <c r="M103">
        <f t="shared" si="24"/>
        <v>0.38699999999880674</v>
      </c>
      <c r="N103">
        <f t="shared" si="25"/>
        <v>97.256969999700118</v>
      </c>
      <c r="Q103">
        <v>7493.473</v>
      </c>
      <c r="R103">
        <v>7493.9309999999996</v>
      </c>
      <c r="S103">
        <v>7494.4309999999996</v>
      </c>
      <c r="T103">
        <v>7494.91</v>
      </c>
      <c r="U103">
        <v>7495.3</v>
      </c>
      <c r="W103">
        <f t="shared" si="26"/>
        <v>0.45799999999962893</v>
      </c>
      <c r="X103">
        <f t="shared" si="27"/>
        <v>114.41297999990731</v>
      </c>
      <c r="Y103">
        <f t="shared" si="33"/>
        <v>0.5</v>
      </c>
      <c r="Z103">
        <f t="shared" si="28"/>
        <v>124.905</v>
      </c>
      <c r="AA103">
        <f t="shared" si="29"/>
        <v>0.47900000000026921</v>
      </c>
      <c r="AB103">
        <f t="shared" si="30"/>
        <v>119.65899000006725</v>
      </c>
      <c r="AC103">
        <f t="shared" si="31"/>
        <v>0.39000000000032742</v>
      </c>
      <c r="AD103">
        <f t="shared" si="32"/>
        <v>97.425900000081796</v>
      </c>
    </row>
    <row r="104" spans="1:30" x14ac:dyDescent="0.35">
      <c r="A104">
        <v>31586.629000000001</v>
      </c>
      <c r="B104">
        <v>31587.08</v>
      </c>
      <c r="C104">
        <v>31587.58</v>
      </c>
      <c r="D104">
        <v>31588.061000000002</v>
      </c>
      <c r="E104">
        <v>31588.444</v>
      </c>
      <c r="G104">
        <f t="shared" si="18"/>
        <v>0.45100000000093132</v>
      </c>
      <c r="H104">
        <f t="shared" si="19"/>
        <v>113.34081000023406</v>
      </c>
      <c r="I104">
        <f t="shared" si="20"/>
        <v>0.5</v>
      </c>
      <c r="J104">
        <f t="shared" si="21"/>
        <v>125.655</v>
      </c>
      <c r="K104">
        <f t="shared" si="22"/>
        <v>0.48099999999976717</v>
      </c>
      <c r="L104">
        <f t="shared" si="23"/>
        <v>120.88010999994148</v>
      </c>
      <c r="M104">
        <f t="shared" si="24"/>
        <v>0.38299999999799184</v>
      </c>
      <c r="N104">
        <f t="shared" si="25"/>
        <v>96.251729999495325</v>
      </c>
      <c r="Q104">
        <v>7499.8890000000001</v>
      </c>
      <c r="R104">
        <v>7500.3469999999998</v>
      </c>
      <c r="S104">
        <v>7500.8549999999996</v>
      </c>
      <c r="T104">
        <v>7501.3249999999998</v>
      </c>
      <c r="U104">
        <v>7501.723</v>
      </c>
      <c r="W104">
        <f t="shared" si="26"/>
        <v>0.45799999999962893</v>
      </c>
      <c r="X104">
        <f t="shared" si="27"/>
        <v>114.41297999990731</v>
      </c>
      <c r="Y104">
        <f t="shared" si="33"/>
        <v>0.50799999999981083</v>
      </c>
      <c r="Z104">
        <f t="shared" si="28"/>
        <v>126.90347999995274</v>
      </c>
      <c r="AA104">
        <f t="shared" si="29"/>
        <v>0.47000000000025466</v>
      </c>
      <c r="AB104">
        <f t="shared" si="30"/>
        <v>117.41070000006361</v>
      </c>
      <c r="AC104">
        <f t="shared" si="31"/>
        <v>0.39800000000013824</v>
      </c>
      <c r="AD104">
        <f t="shared" si="32"/>
        <v>99.424380000034532</v>
      </c>
    </row>
    <row r="105" spans="1:30" x14ac:dyDescent="0.35">
      <c r="A105">
        <v>31587.72</v>
      </c>
      <c r="B105">
        <v>31588.171999999999</v>
      </c>
      <c r="C105">
        <v>31588.671999999999</v>
      </c>
      <c r="D105">
        <v>31589.161</v>
      </c>
      <c r="E105">
        <v>31589.537</v>
      </c>
      <c r="G105">
        <f t="shared" si="18"/>
        <v>0.45199999999749707</v>
      </c>
      <c r="H105">
        <f t="shared" si="19"/>
        <v>113.59211999937099</v>
      </c>
      <c r="I105">
        <f t="shared" si="20"/>
        <v>0.5</v>
      </c>
      <c r="J105">
        <f t="shared" si="21"/>
        <v>125.655</v>
      </c>
      <c r="K105">
        <f t="shared" si="22"/>
        <v>0.48900000000139698</v>
      </c>
      <c r="L105">
        <f t="shared" si="23"/>
        <v>122.89059000035108</v>
      </c>
      <c r="M105">
        <f t="shared" si="24"/>
        <v>0.37600000000020373</v>
      </c>
      <c r="N105">
        <f t="shared" si="25"/>
        <v>94.492560000051199</v>
      </c>
      <c r="Q105">
        <v>7506.2560000000003</v>
      </c>
      <c r="R105">
        <v>7506.7110000000002</v>
      </c>
      <c r="S105">
        <v>7507.22</v>
      </c>
      <c r="T105">
        <v>7507.69</v>
      </c>
      <c r="U105">
        <v>7508.0860000000002</v>
      </c>
      <c r="W105">
        <f t="shared" si="26"/>
        <v>0.45499999999992724</v>
      </c>
      <c r="X105">
        <f t="shared" si="27"/>
        <v>113.66354999998183</v>
      </c>
      <c r="Y105">
        <f t="shared" si="33"/>
        <v>0.50900000000001455</v>
      </c>
      <c r="Z105">
        <f t="shared" si="28"/>
        <v>127.15329000000364</v>
      </c>
      <c r="AA105">
        <f t="shared" si="29"/>
        <v>0.46999999999934516</v>
      </c>
      <c r="AB105">
        <f t="shared" si="30"/>
        <v>117.41069999983641</v>
      </c>
      <c r="AC105">
        <f t="shared" si="31"/>
        <v>0.39600000000064028</v>
      </c>
      <c r="AD105">
        <f t="shared" si="32"/>
        <v>98.924760000159949</v>
      </c>
    </row>
    <row r="106" spans="1:30" x14ac:dyDescent="0.35">
      <c r="A106">
        <v>31588.806</v>
      </c>
      <c r="B106">
        <v>31589.254000000001</v>
      </c>
      <c r="C106">
        <v>31589.761999999999</v>
      </c>
      <c r="D106">
        <v>31590.233</v>
      </c>
      <c r="E106">
        <v>31590.624</v>
      </c>
      <c r="G106">
        <f t="shared" si="18"/>
        <v>0.44800000000032014</v>
      </c>
      <c r="H106">
        <f t="shared" si="19"/>
        <v>112.58688000008046</v>
      </c>
      <c r="I106">
        <f t="shared" si="20"/>
        <v>0.50799999999799184</v>
      </c>
      <c r="J106">
        <f t="shared" si="21"/>
        <v>127.66547999949533</v>
      </c>
      <c r="K106">
        <f t="shared" si="22"/>
        <v>0.47100000000136788</v>
      </c>
      <c r="L106">
        <f t="shared" si="23"/>
        <v>118.36701000034377</v>
      </c>
      <c r="M106">
        <f t="shared" si="24"/>
        <v>0.39099999999962165</v>
      </c>
      <c r="N106">
        <f t="shared" si="25"/>
        <v>98.262209999904911</v>
      </c>
      <c r="Q106">
        <v>7513.6049999999996</v>
      </c>
      <c r="R106">
        <v>7514.0640000000003</v>
      </c>
      <c r="S106">
        <v>7514.5630000000001</v>
      </c>
      <c r="T106">
        <v>7515.0429999999997</v>
      </c>
      <c r="U106">
        <v>7515.4350000000004</v>
      </c>
      <c r="W106">
        <f t="shared" si="26"/>
        <v>0.45900000000074215</v>
      </c>
      <c r="X106">
        <f t="shared" si="27"/>
        <v>114.6627900001854</v>
      </c>
      <c r="Y106">
        <f t="shared" si="33"/>
        <v>0.49899999999979627</v>
      </c>
      <c r="Z106">
        <f t="shared" si="28"/>
        <v>124.6551899999491</v>
      </c>
      <c r="AA106">
        <f t="shared" si="29"/>
        <v>0.47999999999956344</v>
      </c>
      <c r="AB106">
        <f t="shared" si="30"/>
        <v>119.90879999989095</v>
      </c>
      <c r="AC106">
        <f t="shared" si="31"/>
        <v>0.39200000000073487</v>
      </c>
      <c r="AD106">
        <f t="shared" si="32"/>
        <v>97.925520000183582</v>
      </c>
    </row>
    <row r="107" spans="1:30" x14ac:dyDescent="0.35">
      <c r="A107">
        <v>31589.896000000001</v>
      </c>
      <c r="B107">
        <v>31590.344000000001</v>
      </c>
      <c r="C107">
        <v>31590.843000000001</v>
      </c>
      <c r="D107">
        <v>31591.312999999998</v>
      </c>
      <c r="E107">
        <v>31591.710999999999</v>
      </c>
      <c r="G107">
        <f t="shared" si="18"/>
        <v>0.44800000000032014</v>
      </c>
      <c r="H107">
        <f t="shared" si="19"/>
        <v>112.58688000008046</v>
      </c>
      <c r="I107">
        <f t="shared" si="20"/>
        <v>0.49899999999979627</v>
      </c>
      <c r="J107">
        <f t="shared" si="21"/>
        <v>125.4036899999488</v>
      </c>
      <c r="K107">
        <f t="shared" si="22"/>
        <v>0.46999999999752617</v>
      </c>
      <c r="L107">
        <f t="shared" si="23"/>
        <v>118.11569999937831</v>
      </c>
      <c r="M107">
        <f t="shared" si="24"/>
        <v>0.39800000000104774</v>
      </c>
      <c r="N107">
        <f t="shared" si="25"/>
        <v>100.02138000026331</v>
      </c>
      <c r="Q107">
        <v>7519.9889999999996</v>
      </c>
      <c r="R107">
        <v>7520.4359999999997</v>
      </c>
      <c r="S107">
        <v>7520.9459999999999</v>
      </c>
      <c r="T107">
        <v>7521.4160000000002</v>
      </c>
      <c r="U107">
        <v>7521.8159999999998</v>
      </c>
      <c r="W107">
        <f t="shared" si="26"/>
        <v>0.44700000000011642</v>
      </c>
      <c r="X107">
        <f t="shared" si="27"/>
        <v>111.66507000002909</v>
      </c>
      <c r="Y107">
        <f t="shared" si="33"/>
        <v>0.51000000000021828</v>
      </c>
      <c r="Z107">
        <f t="shared" si="28"/>
        <v>127.40310000005454</v>
      </c>
      <c r="AA107">
        <f t="shared" si="29"/>
        <v>0.47000000000025466</v>
      </c>
      <c r="AB107">
        <f t="shared" si="30"/>
        <v>117.41070000006361</v>
      </c>
      <c r="AC107">
        <f t="shared" si="31"/>
        <v>0.3999999999996362</v>
      </c>
      <c r="AD107">
        <f t="shared" si="32"/>
        <v>99.923999999909114</v>
      </c>
    </row>
    <row r="108" spans="1:30" x14ac:dyDescent="0.35">
      <c r="A108">
        <v>32147.476999999999</v>
      </c>
      <c r="B108">
        <v>32147.918000000001</v>
      </c>
      <c r="C108">
        <v>32148.428</v>
      </c>
      <c r="D108">
        <v>32148.91</v>
      </c>
      <c r="E108">
        <v>32149.3</v>
      </c>
      <c r="G108">
        <f t="shared" si="18"/>
        <v>0.44100000000253203</v>
      </c>
      <c r="H108">
        <f t="shared" si="19"/>
        <v>110.82771000063633</v>
      </c>
      <c r="I108">
        <f t="shared" si="20"/>
        <v>0.50999999999839929</v>
      </c>
      <c r="J108">
        <f t="shared" si="21"/>
        <v>128.16809999959773</v>
      </c>
      <c r="K108">
        <f t="shared" si="22"/>
        <v>0.4819999999999709</v>
      </c>
      <c r="L108">
        <f t="shared" si="23"/>
        <v>121.13141999999269</v>
      </c>
      <c r="M108">
        <f t="shared" si="24"/>
        <v>0.38999999999941792</v>
      </c>
      <c r="N108">
        <f t="shared" si="25"/>
        <v>98.01089999985372</v>
      </c>
      <c r="Q108">
        <v>7526.4210000000003</v>
      </c>
      <c r="R108">
        <v>7526.88</v>
      </c>
      <c r="S108">
        <v>7527.38</v>
      </c>
      <c r="T108">
        <v>7527.86</v>
      </c>
      <c r="U108">
        <v>7528.2550000000001</v>
      </c>
      <c r="W108">
        <f t="shared" si="26"/>
        <v>0.45899999999983265</v>
      </c>
      <c r="X108">
        <f t="shared" si="27"/>
        <v>114.66278999995819</v>
      </c>
      <c r="Y108">
        <f t="shared" si="33"/>
        <v>0.5</v>
      </c>
      <c r="Z108">
        <f t="shared" si="28"/>
        <v>124.905</v>
      </c>
      <c r="AA108">
        <f t="shared" si="29"/>
        <v>0.47999999999956344</v>
      </c>
      <c r="AB108">
        <f t="shared" si="30"/>
        <v>119.90879999989095</v>
      </c>
      <c r="AC108">
        <f t="shared" si="31"/>
        <v>0.39500000000043656</v>
      </c>
      <c r="AD108">
        <f t="shared" si="32"/>
        <v>98.674950000109064</v>
      </c>
    </row>
    <row r="109" spans="1:30" x14ac:dyDescent="0.35">
      <c r="A109">
        <v>32149.172999999999</v>
      </c>
      <c r="B109">
        <v>32149.611000000001</v>
      </c>
      <c r="C109">
        <v>32150.123</v>
      </c>
      <c r="D109">
        <v>32150.600999999999</v>
      </c>
      <c r="E109">
        <v>32150.994999999999</v>
      </c>
      <c r="G109">
        <f t="shared" si="18"/>
        <v>0.43800000000192085</v>
      </c>
      <c r="H109">
        <f t="shared" si="19"/>
        <v>110.07378000048273</v>
      </c>
      <c r="I109">
        <f t="shared" si="20"/>
        <v>0.51199999999880674</v>
      </c>
      <c r="J109">
        <f t="shared" si="21"/>
        <v>128.67071999970011</v>
      </c>
      <c r="K109">
        <f t="shared" si="22"/>
        <v>0.47799999999915599</v>
      </c>
      <c r="L109">
        <f t="shared" si="23"/>
        <v>120.12617999978789</v>
      </c>
      <c r="M109">
        <f t="shared" si="24"/>
        <v>0.39400000000023283</v>
      </c>
      <c r="N109">
        <f t="shared" si="25"/>
        <v>99.016140000058513</v>
      </c>
      <c r="Q109">
        <v>7532.8119999999999</v>
      </c>
      <c r="R109">
        <v>7533.2650000000003</v>
      </c>
      <c r="S109">
        <v>7533.7659999999996</v>
      </c>
      <c r="T109">
        <v>7534.2449999999999</v>
      </c>
      <c r="U109">
        <v>7534.64</v>
      </c>
      <c r="W109">
        <f t="shared" si="26"/>
        <v>0.45300000000042928</v>
      </c>
      <c r="X109">
        <f t="shared" si="27"/>
        <v>113.16393000010724</v>
      </c>
      <c r="Y109">
        <f t="shared" si="33"/>
        <v>0.50099999999929423</v>
      </c>
      <c r="Z109">
        <f t="shared" si="28"/>
        <v>125.1548099998237</v>
      </c>
      <c r="AA109">
        <f t="shared" si="29"/>
        <v>0.47900000000026921</v>
      </c>
      <c r="AB109">
        <f t="shared" si="30"/>
        <v>119.65899000006725</v>
      </c>
      <c r="AC109">
        <f t="shared" si="31"/>
        <v>0.39500000000043656</v>
      </c>
      <c r="AD109">
        <f t="shared" si="32"/>
        <v>98.674950000109064</v>
      </c>
    </row>
    <row r="110" spans="1:30" x14ac:dyDescent="0.35">
      <c r="A110">
        <v>32150.26</v>
      </c>
      <c r="B110">
        <v>32150.712</v>
      </c>
      <c r="C110">
        <v>32151.202000000001</v>
      </c>
      <c r="D110">
        <v>32151.685000000001</v>
      </c>
      <c r="E110">
        <v>32152.07</v>
      </c>
      <c r="G110">
        <f t="shared" si="18"/>
        <v>0.45200000000113505</v>
      </c>
      <c r="H110">
        <f t="shared" si="19"/>
        <v>113.59212000028525</v>
      </c>
      <c r="I110">
        <f t="shared" si="20"/>
        <v>0.49000000000160071</v>
      </c>
      <c r="J110">
        <f t="shared" si="21"/>
        <v>123.14190000040227</v>
      </c>
      <c r="K110">
        <f t="shared" si="22"/>
        <v>0.48300000000017462</v>
      </c>
      <c r="L110">
        <f t="shared" si="23"/>
        <v>121.38273000004389</v>
      </c>
      <c r="M110">
        <f t="shared" si="24"/>
        <v>0.38499999999839929</v>
      </c>
      <c r="N110">
        <f t="shared" si="25"/>
        <v>96.754349999597721</v>
      </c>
      <c r="Q110">
        <v>7539.2330000000002</v>
      </c>
      <c r="R110">
        <v>7539.69</v>
      </c>
      <c r="S110">
        <v>7540.201</v>
      </c>
      <c r="T110">
        <v>7540.67</v>
      </c>
      <c r="U110">
        <v>7541.0640000000003</v>
      </c>
      <c r="W110">
        <f t="shared" si="26"/>
        <v>0.4569999999994252</v>
      </c>
      <c r="X110">
        <f t="shared" si="27"/>
        <v>114.16316999985641</v>
      </c>
      <c r="Y110">
        <f t="shared" si="33"/>
        <v>0.51100000000042201</v>
      </c>
      <c r="Z110">
        <f t="shared" si="28"/>
        <v>127.65291000010542</v>
      </c>
      <c r="AA110">
        <f t="shared" si="29"/>
        <v>0.46900000000005093</v>
      </c>
      <c r="AB110">
        <f t="shared" si="30"/>
        <v>117.16089000001273</v>
      </c>
      <c r="AC110">
        <f t="shared" si="31"/>
        <v>0.39400000000023283</v>
      </c>
      <c r="AD110">
        <f t="shared" si="32"/>
        <v>98.425140000058164</v>
      </c>
    </row>
    <row r="111" spans="1:30" x14ac:dyDescent="0.35">
      <c r="A111">
        <v>32151.35</v>
      </c>
      <c r="B111">
        <v>32151.794999999998</v>
      </c>
      <c r="C111">
        <v>32152.294999999998</v>
      </c>
      <c r="D111">
        <v>32152.776999999998</v>
      </c>
      <c r="E111">
        <v>32153.165000000001</v>
      </c>
      <c r="G111">
        <f t="shared" si="18"/>
        <v>0.44499999999970896</v>
      </c>
      <c r="H111">
        <f t="shared" si="19"/>
        <v>111.83294999992685</v>
      </c>
      <c r="I111">
        <f t="shared" si="20"/>
        <v>0.5</v>
      </c>
      <c r="J111">
        <f t="shared" si="21"/>
        <v>125.655</v>
      </c>
      <c r="K111">
        <f t="shared" si="22"/>
        <v>0.4819999999999709</v>
      </c>
      <c r="L111">
        <f t="shared" si="23"/>
        <v>121.13141999999269</v>
      </c>
      <c r="M111">
        <f t="shared" si="24"/>
        <v>0.38800000000264845</v>
      </c>
      <c r="N111">
        <f t="shared" si="25"/>
        <v>97.508280000665579</v>
      </c>
      <c r="Q111">
        <v>7547.3680000000004</v>
      </c>
      <c r="R111">
        <v>7547.8239999999996</v>
      </c>
      <c r="S111">
        <v>7548.3249999999998</v>
      </c>
      <c r="T111">
        <v>7548.8019999999997</v>
      </c>
      <c r="U111">
        <v>7549.1959999999999</v>
      </c>
      <c r="W111">
        <f t="shared" si="26"/>
        <v>0.45599999999922147</v>
      </c>
      <c r="X111">
        <f t="shared" si="27"/>
        <v>113.91335999980552</v>
      </c>
      <c r="Y111">
        <f t="shared" si="33"/>
        <v>0.50100000000020373</v>
      </c>
      <c r="Z111">
        <f t="shared" si="28"/>
        <v>125.1548100000509</v>
      </c>
      <c r="AA111">
        <f t="shared" si="29"/>
        <v>0.47699999999986176</v>
      </c>
      <c r="AB111">
        <f t="shared" si="30"/>
        <v>119.15936999996546</v>
      </c>
      <c r="AC111">
        <f t="shared" si="31"/>
        <v>0.39400000000023283</v>
      </c>
      <c r="AD111">
        <f t="shared" si="32"/>
        <v>98.425140000058164</v>
      </c>
    </row>
    <row r="112" spans="1:30" x14ac:dyDescent="0.35">
      <c r="A112">
        <v>32152.438999999998</v>
      </c>
      <c r="B112">
        <v>32152.896000000001</v>
      </c>
      <c r="C112">
        <v>32153.386999999999</v>
      </c>
      <c r="D112">
        <v>32153.877</v>
      </c>
      <c r="E112">
        <v>32154.255000000001</v>
      </c>
      <c r="G112">
        <f t="shared" si="18"/>
        <v>0.45700000000215368</v>
      </c>
      <c r="H112">
        <f t="shared" si="19"/>
        <v>114.84867000054125</v>
      </c>
      <c r="I112">
        <f t="shared" si="20"/>
        <v>0.49099999999816646</v>
      </c>
      <c r="J112">
        <f t="shared" si="21"/>
        <v>123.39320999953921</v>
      </c>
      <c r="K112">
        <f t="shared" si="22"/>
        <v>0.49000000000160071</v>
      </c>
      <c r="L112">
        <f t="shared" si="23"/>
        <v>123.14190000040227</v>
      </c>
      <c r="M112">
        <f t="shared" si="24"/>
        <v>0.37800000000061118</v>
      </c>
      <c r="N112">
        <f t="shared" si="25"/>
        <v>94.995180000153596</v>
      </c>
      <c r="Q112">
        <v>7553.884</v>
      </c>
      <c r="R112">
        <v>7554.3270000000002</v>
      </c>
      <c r="S112">
        <v>7554.8370000000004</v>
      </c>
      <c r="T112">
        <v>7555.3159999999998</v>
      </c>
      <c r="U112">
        <v>7555.71</v>
      </c>
      <c r="W112">
        <f t="shared" si="26"/>
        <v>0.443000000000211</v>
      </c>
      <c r="X112">
        <f t="shared" si="27"/>
        <v>110.66583000005271</v>
      </c>
      <c r="Y112">
        <f t="shared" si="33"/>
        <v>0.51000000000021828</v>
      </c>
      <c r="Z112">
        <f t="shared" si="28"/>
        <v>127.40310000005454</v>
      </c>
      <c r="AA112">
        <f t="shared" si="29"/>
        <v>0.47899999999935972</v>
      </c>
      <c r="AB112">
        <f t="shared" si="30"/>
        <v>119.65898999984005</v>
      </c>
      <c r="AC112">
        <f t="shared" si="31"/>
        <v>0.39400000000023283</v>
      </c>
      <c r="AD112">
        <f t="shared" si="32"/>
        <v>98.425140000058164</v>
      </c>
    </row>
    <row r="113" spans="1:30" x14ac:dyDescent="0.35">
      <c r="A113">
        <v>32153.526000000002</v>
      </c>
      <c r="B113">
        <v>32153.969000000001</v>
      </c>
      <c r="C113">
        <v>32154.477999999999</v>
      </c>
      <c r="D113">
        <v>32154.95</v>
      </c>
      <c r="E113">
        <v>32155.339</v>
      </c>
      <c r="G113">
        <f t="shared" si="18"/>
        <v>0.44299999999930151</v>
      </c>
      <c r="H113">
        <f t="shared" si="19"/>
        <v>111.33032999982446</v>
      </c>
      <c r="I113">
        <f t="shared" si="20"/>
        <v>0.50899999999819556</v>
      </c>
      <c r="J113">
        <f t="shared" si="21"/>
        <v>127.91678999954652</v>
      </c>
      <c r="K113">
        <f t="shared" si="22"/>
        <v>0.47200000000157161</v>
      </c>
      <c r="L113">
        <f t="shared" si="23"/>
        <v>118.61832000039496</v>
      </c>
      <c r="M113">
        <f t="shared" si="24"/>
        <v>0.3889999999992142</v>
      </c>
      <c r="N113">
        <f t="shared" si="25"/>
        <v>97.759589999802515</v>
      </c>
      <c r="Q113">
        <v>7560.3329999999996</v>
      </c>
      <c r="R113">
        <v>7560.7820000000002</v>
      </c>
      <c r="S113">
        <v>7561.29</v>
      </c>
      <c r="T113">
        <v>7561.7709999999997</v>
      </c>
      <c r="U113">
        <v>7562.1639999999998</v>
      </c>
      <c r="W113">
        <f t="shared" si="26"/>
        <v>0.44900000000052387</v>
      </c>
      <c r="X113">
        <f t="shared" si="27"/>
        <v>112.16469000013088</v>
      </c>
      <c r="Y113">
        <f t="shared" si="33"/>
        <v>0.50799999999981083</v>
      </c>
      <c r="Z113">
        <f t="shared" si="28"/>
        <v>126.90347999995274</v>
      </c>
      <c r="AA113">
        <f t="shared" si="29"/>
        <v>0.48099999999976717</v>
      </c>
      <c r="AB113">
        <f t="shared" si="30"/>
        <v>120.15860999994183</v>
      </c>
      <c r="AC113">
        <f t="shared" si="31"/>
        <v>0.3930000000000291</v>
      </c>
      <c r="AD113">
        <f t="shared" si="32"/>
        <v>98.175330000007278</v>
      </c>
    </row>
    <row r="114" spans="1:30" x14ac:dyDescent="0.35">
      <c r="A114">
        <v>32154.614000000001</v>
      </c>
      <c r="B114">
        <v>32155.061000000002</v>
      </c>
      <c r="C114">
        <v>32155.571</v>
      </c>
      <c r="D114">
        <v>32156.032999999999</v>
      </c>
      <c r="E114">
        <v>32156.434000000001</v>
      </c>
      <c r="G114">
        <f t="shared" si="18"/>
        <v>0.44700000000011642</v>
      </c>
      <c r="H114">
        <f t="shared" si="19"/>
        <v>112.33557000002926</v>
      </c>
      <c r="I114">
        <f t="shared" si="20"/>
        <v>0.50999999999839929</v>
      </c>
      <c r="J114">
        <f t="shared" si="21"/>
        <v>128.16809999959773</v>
      </c>
      <c r="K114">
        <f t="shared" si="22"/>
        <v>0.46199999999953434</v>
      </c>
      <c r="L114">
        <f t="shared" si="23"/>
        <v>116.10521999988298</v>
      </c>
      <c r="M114">
        <f t="shared" si="24"/>
        <v>0.40100000000165892</v>
      </c>
      <c r="N114">
        <f t="shared" si="25"/>
        <v>100.77531000041691</v>
      </c>
      <c r="Q114">
        <v>7566.7160000000003</v>
      </c>
      <c r="R114">
        <v>7567.1750000000002</v>
      </c>
      <c r="S114">
        <v>7567.6750000000002</v>
      </c>
      <c r="T114">
        <v>7568.1549999999997</v>
      </c>
      <c r="U114">
        <v>7568.55</v>
      </c>
      <c r="W114">
        <f t="shared" si="26"/>
        <v>0.45899999999983265</v>
      </c>
      <c r="X114">
        <f t="shared" si="27"/>
        <v>114.66278999995819</v>
      </c>
      <c r="Y114">
        <f t="shared" si="33"/>
        <v>0.5</v>
      </c>
      <c r="Z114">
        <f t="shared" si="28"/>
        <v>124.905</v>
      </c>
      <c r="AA114">
        <f t="shared" si="29"/>
        <v>0.47999999999956344</v>
      </c>
      <c r="AB114">
        <f t="shared" si="30"/>
        <v>119.90879999989095</v>
      </c>
      <c r="AC114">
        <f t="shared" si="31"/>
        <v>0.39500000000043656</v>
      </c>
      <c r="AD114">
        <f t="shared" si="32"/>
        <v>98.674950000109064</v>
      </c>
    </row>
    <row r="115" spans="1:30" x14ac:dyDescent="0.35">
      <c r="A115">
        <v>32155.702000000001</v>
      </c>
      <c r="B115">
        <v>32156.182000000001</v>
      </c>
      <c r="C115">
        <v>32156.662</v>
      </c>
      <c r="D115">
        <v>32157.133999999998</v>
      </c>
      <c r="E115">
        <v>32157.528999999999</v>
      </c>
      <c r="G115">
        <f t="shared" si="18"/>
        <v>0.47999999999956344</v>
      </c>
      <c r="H115">
        <f t="shared" si="19"/>
        <v>120.62879999989029</v>
      </c>
      <c r="I115">
        <f t="shared" si="20"/>
        <v>0.47999999999956344</v>
      </c>
      <c r="J115">
        <f t="shared" si="21"/>
        <v>120.62879999989029</v>
      </c>
      <c r="K115">
        <f t="shared" si="22"/>
        <v>0.47199999999793363</v>
      </c>
      <c r="L115">
        <f t="shared" si="23"/>
        <v>118.6183199994807</v>
      </c>
      <c r="M115">
        <f t="shared" si="24"/>
        <v>0.39500000000043656</v>
      </c>
      <c r="N115">
        <f t="shared" si="25"/>
        <v>99.267450000109719</v>
      </c>
      <c r="Q115">
        <v>7573.1360000000004</v>
      </c>
      <c r="R115">
        <v>7573.5820000000003</v>
      </c>
      <c r="S115">
        <v>7574.0889999999999</v>
      </c>
      <c r="T115">
        <v>7574.5690000000004</v>
      </c>
      <c r="U115">
        <v>7574.9629999999997</v>
      </c>
      <c r="W115">
        <f t="shared" si="26"/>
        <v>0.44599999999991269</v>
      </c>
      <c r="X115">
        <f t="shared" si="27"/>
        <v>111.41525999997819</v>
      </c>
      <c r="Y115">
        <f t="shared" si="33"/>
        <v>0.5069999999996071</v>
      </c>
      <c r="Z115">
        <f t="shared" si="28"/>
        <v>126.65366999990185</v>
      </c>
      <c r="AA115">
        <f t="shared" si="29"/>
        <v>0.48000000000047294</v>
      </c>
      <c r="AB115">
        <f t="shared" si="30"/>
        <v>119.90880000011815</v>
      </c>
      <c r="AC115">
        <f t="shared" si="31"/>
        <v>0.39399999999932334</v>
      </c>
      <c r="AD115">
        <f t="shared" si="32"/>
        <v>98.425139999830961</v>
      </c>
    </row>
    <row r="116" spans="1:30" x14ac:dyDescent="0.35">
      <c r="A116">
        <v>32156.79</v>
      </c>
      <c r="B116">
        <v>32157.243999999999</v>
      </c>
      <c r="C116">
        <v>32157.735000000001</v>
      </c>
      <c r="D116">
        <v>32158.205999999998</v>
      </c>
      <c r="E116">
        <v>32158.602999999999</v>
      </c>
      <c r="G116">
        <f t="shared" si="18"/>
        <v>0.45399999999790452</v>
      </c>
      <c r="H116">
        <f t="shared" si="19"/>
        <v>114.09473999947339</v>
      </c>
      <c r="I116">
        <f t="shared" si="20"/>
        <v>0.49100000000180444</v>
      </c>
      <c r="J116">
        <f t="shared" si="21"/>
        <v>123.39321000045348</v>
      </c>
      <c r="K116">
        <f t="shared" si="22"/>
        <v>0.4709999999977299</v>
      </c>
      <c r="L116">
        <f t="shared" si="23"/>
        <v>118.3670099994295</v>
      </c>
      <c r="M116">
        <f t="shared" si="24"/>
        <v>0.39700000000084401</v>
      </c>
      <c r="N116">
        <f t="shared" si="25"/>
        <v>99.770070000212115</v>
      </c>
      <c r="Q116">
        <v>7580.4849999999997</v>
      </c>
      <c r="R116">
        <v>7580.9430000000002</v>
      </c>
      <c r="S116">
        <v>7581.4520000000002</v>
      </c>
      <c r="T116">
        <v>7581.9219999999996</v>
      </c>
      <c r="U116">
        <v>7582.3190000000004</v>
      </c>
      <c r="W116">
        <f t="shared" si="26"/>
        <v>0.45800000000053842</v>
      </c>
      <c r="X116">
        <f t="shared" si="27"/>
        <v>114.41298000013451</v>
      </c>
      <c r="Y116">
        <f t="shared" si="33"/>
        <v>0.50900000000001455</v>
      </c>
      <c r="Z116">
        <f t="shared" si="28"/>
        <v>127.15329000000364</v>
      </c>
      <c r="AA116">
        <f t="shared" si="29"/>
        <v>0.46999999999934516</v>
      </c>
      <c r="AB116">
        <f t="shared" si="30"/>
        <v>117.41069999983641</v>
      </c>
      <c r="AC116">
        <f t="shared" si="31"/>
        <v>0.39700000000084401</v>
      </c>
      <c r="AD116">
        <f t="shared" si="32"/>
        <v>99.174570000210849</v>
      </c>
    </row>
    <row r="117" spans="1:30" x14ac:dyDescent="0.35">
      <c r="A117">
        <v>32157.905999999999</v>
      </c>
      <c r="B117">
        <v>32158.377</v>
      </c>
      <c r="C117">
        <v>32158.856</v>
      </c>
      <c r="D117">
        <v>32159.329000000002</v>
      </c>
      <c r="E117">
        <v>32159.72</v>
      </c>
      <c r="G117">
        <f t="shared" si="18"/>
        <v>0.47100000000136788</v>
      </c>
      <c r="H117">
        <f t="shared" si="19"/>
        <v>118.36701000034377</v>
      </c>
      <c r="I117">
        <f t="shared" si="20"/>
        <v>0.47899999999935972</v>
      </c>
      <c r="J117">
        <f t="shared" si="21"/>
        <v>120.37748999983909</v>
      </c>
      <c r="K117">
        <f t="shared" si="22"/>
        <v>0.47300000000177533</v>
      </c>
      <c r="L117">
        <f t="shared" si="23"/>
        <v>118.86963000044616</v>
      </c>
      <c r="M117">
        <f t="shared" si="24"/>
        <v>0.39099999999962165</v>
      </c>
      <c r="N117">
        <f t="shared" si="25"/>
        <v>98.262209999904911</v>
      </c>
      <c r="Q117">
        <v>7586.866</v>
      </c>
      <c r="R117">
        <v>7587.3249999999998</v>
      </c>
      <c r="S117">
        <v>7587.835</v>
      </c>
      <c r="T117">
        <v>7588.3050000000003</v>
      </c>
      <c r="U117">
        <v>7588.7030000000004</v>
      </c>
      <c r="W117">
        <f t="shared" si="26"/>
        <v>0.45899999999983265</v>
      </c>
      <c r="X117">
        <f t="shared" si="27"/>
        <v>114.66278999995819</v>
      </c>
      <c r="Y117">
        <f t="shared" si="33"/>
        <v>0.51000000000021828</v>
      </c>
      <c r="Z117">
        <f t="shared" si="28"/>
        <v>127.40310000005454</v>
      </c>
      <c r="AA117">
        <f t="shared" si="29"/>
        <v>0.47000000000025466</v>
      </c>
      <c r="AB117">
        <f t="shared" si="30"/>
        <v>117.41070000006361</v>
      </c>
      <c r="AC117">
        <f t="shared" si="31"/>
        <v>0.39800000000013824</v>
      </c>
      <c r="AD117">
        <f t="shared" si="32"/>
        <v>99.424380000034532</v>
      </c>
    </row>
    <row r="118" spans="1:30" x14ac:dyDescent="0.35">
      <c r="A118">
        <v>32159.014999999999</v>
      </c>
      <c r="B118">
        <v>32159.488000000001</v>
      </c>
      <c r="C118">
        <v>32159.97</v>
      </c>
      <c r="D118">
        <v>32160.451000000001</v>
      </c>
      <c r="E118">
        <v>32160.834999999999</v>
      </c>
      <c r="G118">
        <f t="shared" si="18"/>
        <v>0.47300000000177533</v>
      </c>
      <c r="H118">
        <f t="shared" si="19"/>
        <v>118.86963000044616</v>
      </c>
      <c r="I118">
        <f t="shared" si="20"/>
        <v>0.4819999999999709</v>
      </c>
      <c r="J118">
        <f t="shared" si="21"/>
        <v>121.13141999999269</v>
      </c>
      <c r="K118">
        <f t="shared" si="22"/>
        <v>0.48099999999976717</v>
      </c>
      <c r="L118">
        <f t="shared" si="23"/>
        <v>120.88010999994148</v>
      </c>
      <c r="M118">
        <f t="shared" si="24"/>
        <v>0.38399999999819556</v>
      </c>
      <c r="N118">
        <f t="shared" si="25"/>
        <v>96.50303999954653</v>
      </c>
      <c r="Q118">
        <v>7593.2950000000001</v>
      </c>
      <c r="R118">
        <v>7593.7389999999996</v>
      </c>
      <c r="S118">
        <v>7594.2479999999996</v>
      </c>
      <c r="T118">
        <v>7594.73</v>
      </c>
      <c r="U118">
        <v>7595.125</v>
      </c>
      <c r="W118">
        <f t="shared" si="26"/>
        <v>0.44399999999950523</v>
      </c>
      <c r="X118">
        <f t="shared" si="27"/>
        <v>110.9156399998764</v>
      </c>
      <c r="Y118">
        <f t="shared" si="33"/>
        <v>0.50900000000001455</v>
      </c>
      <c r="Z118">
        <f t="shared" si="28"/>
        <v>127.15329000000364</v>
      </c>
      <c r="AA118">
        <f t="shared" si="29"/>
        <v>0.4819999999999709</v>
      </c>
      <c r="AB118">
        <f t="shared" si="30"/>
        <v>120.40841999999273</v>
      </c>
      <c r="AC118">
        <f t="shared" si="31"/>
        <v>0.39500000000043656</v>
      </c>
      <c r="AD118">
        <f t="shared" si="32"/>
        <v>98.674950000109064</v>
      </c>
    </row>
    <row r="119" spans="1:30" x14ac:dyDescent="0.35">
      <c r="A119">
        <v>32160.128000000001</v>
      </c>
      <c r="B119">
        <v>32160.59</v>
      </c>
      <c r="C119">
        <v>32161.073</v>
      </c>
      <c r="D119">
        <v>32161.561000000002</v>
      </c>
      <c r="E119">
        <v>32161.941999999999</v>
      </c>
      <c r="G119">
        <f t="shared" si="18"/>
        <v>0.46199999999953434</v>
      </c>
      <c r="H119">
        <f t="shared" si="19"/>
        <v>116.10521999988298</v>
      </c>
      <c r="I119">
        <f t="shared" si="20"/>
        <v>0.48300000000017462</v>
      </c>
      <c r="J119">
        <f t="shared" si="21"/>
        <v>121.38273000004389</v>
      </c>
      <c r="K119">
        <f t="shared" si="22"/>
        <v>0.48800000000119326</v>
      </c>
      <c r="L119">
        <f t="shared" si="23"/>
        <v>122.63928000029988</v>
      </c>
      <c r="M119">
        <f t="shared" si="24"/>
        <v>0.38099999999758438</v>
      </c>
      <c r="N119">
        <f t="shared" si="25"/>
        <v>95.749109999392928</v>
      </c>
      <c r="Q119">
        <v>7599.68</v>
      </c>
      <c r="R119">
        <v>7600.134</v>
      </c>
      <c r="S119">
        <v>7600.6350000000002</v>
      </c>
      <c r="T119">
        <v>7601.1139999999996</v>
      </c>
      <c r="U119">
        <v>7601.5039999999999</v>
      </c>
      <c r="W119">
        <f t="shared" si="26"/>
        <v>0.45399999999972351</v>
      </c>
      <c r="X119">
        <f t="shared" si="27"/>
        <v>113.41373999993093</v>
      </c>
      <c r="Y119">
        <f t="shared" si="33"/>
        <v>0.50100000000020373</v>
      </c>
      <c r="Z119">
        <f t="shared" si="28"/>
        <v>125.1548100000509</v>
      </c>
      <c r="AA119">
        <f t="shared" si="29"/>
        <v>0.47899999999935972</v>
      </c>
      <c r="AB119">
        <f t="shared" si="30"/>
        <v>119.65898999984005</v>
      </c>
      <c r="AC119">
        <f t="shared" si="31"/>
        <v>0.39000000000032742</v>
      </c>
      <c r="AD119">
        <f t="shared" si="32"/>
        <v>97.425900000081796</v>
      </c>
    </row>
    <row r="120" spans="1:30" x14ac:dyDescent="0.35">
      <c r="A120">
        <v>32161.241000000002</v>
      </c>
      <c r="B120">
        <v>32161.712</v>
      </c>
      <c r="C120">
        <v>32162.182000000001</v>
      </c>
      <c r="D120">
        <v>32162.663</v>
      </c>
      <c r="E120">
        <v>32163.054</v>
      </c>
      <c r="G120">
        <f t="shared" si="18"/>
        <v>0.4709999999977299</v>
      </c>
      <c r="H120">
        <f t="shared" si="19"/>
        <v>118.3670099994295</v>
      </c>
      <c r="I120">
        <f t="shared" si="20"/>
        <v>0.47000000000116415</v>
      </c>
      <c r="J120">
        <f t="shared" si="21"/>
        <v>118.11570000029256</v>
      </c>
      <c r="K120">
        <f t="shared" si="22"/>
        <v>0.48099999999976717</v>
      </c>
      <c r="L120">
        <f t="shared" si="23"/>
        <v>120.88010999994148</v>
      </c>
      <c r="M120">
        <f t="shared" si="24"/>
        <v>0.39099999999962165</v>
      </c>
      <c r="N120">
        <f t="shared" si="25"/>
        <v>98.262209999904911</v>
      </c>
      <c r="Q120">
        <v>7606.1149999999998</v>
      </c>
      <c r="R120">
        <v>7606.5889999999999</v>
      </c>
      <c r="S120">
        <v>7607.0690000000004</v>
      </c>
      <c r="T120">
        <v>7607.549</v>
      </c>
      <c r="U120">
        <v>7607.9449999999997</v>
      </c>
      <c r="W120">
        <f t="shared" si="26"/>
        <v>0.47400000000016007</v>
      </c>
      <c r="X120">
        <f t="shared" si="27"/>
        <v>118.40994000004</v>
      </c>
      <c r="Y120">
        <f t="shared" si="33"/>
        <v>0.48000000000047294</v>
      </c>
      <c r="Z120">
        <f t="shared" si="28"/>
        <v>119.90880000011815</v>
      </c>
      <c r="AA120">
        <f t="shared" si="29"/>
        <v>0.47999999999956344</v>
      </c>
      <c r="AB120">
        <f t="shared" si="30"/>
        <v>119.90879999989095</v>
      </c>
      <c r="AC120">
        <f t="shared" si="31"/>
        <v>0.39599999999973079</v>
      </c>
      <c r="AD120">
        <f t="shared" si="32"/>
        <v>98.924759999932746</v>
      </c>
    </row>
    <row r="121" spans="1:30" x14ac:dyDescent="0.35">
      <c r="A121">
        <v>32162.363000000001</v>
      </c>
      <c r="B121">
        <v>32162.834999999999</v>
      </c>
      <c r="C121">
        <v>32163.316999999999</v>
      </c>
      <c r="D121">
        <v>32163.806</v>
      </c>
      <c r="E121">
        <v>32164.182000000001</v>
      </c>
      <c r="G121">
        <f t="shared" si="18"/>
        <v>0.47199999999793363</v>
      </c>
      <c r="H121">
        <f t="shared" si="19"/>
        <v>118.6183199994807</v>
      </c>
      <c r="I121">
        <f t="shared" si="20"/>
        <v>0.4819999999999709</v>
      </c>
      <c r="J121">
        <f t="shared" si="21"/>
        <v>121.13141999999269</v>
      </c>
      <c r="K121">
        <f t="shared" si="22"/>
        <v>0.48900000000139698</v>
      </c>
      <c r="L121">
        <f t="shared" si="23"/>
        <v>122.89059000035108</v>
      </c>
      <c r="M121">
        <f t="shared" si="24"/>
        <v>0.37600000000020373</v>
      </c>
      <c r="N121">
        <f t="shared" si="25"/>
        <v>94.492560000051199</v>
      </c>
      <c r="Q121">
        <v>7613.451</v>
      </c>
      <c r="R121">
        <v>7613.9129999999996</v>
      </c>
      <c r="S121">
        <v>7614.4110000000001</v>
      </c>
      <c r="T121">
        <v>7614.8919999999998</v>
      </c>
      <c r="U121">
        <v>7615.2860000000001</v>
      </c>
      <c r="W121">
        <f t="shared" si="26"/>
        <v>0.46199999999953434</v>
      </c>
      <c r="X121">
        <f t="shared" si="27"/>
        <v>115.41221999988367</v>
      </c>
      <c r="Y121">
        <f t="shared" si="33"/>
        <v>0.49800000000050204</v>
      </c>
      <c r="Z121">
        <f t="shared" si="28"/>
        <v>124.40538000012542</v>
      </c>
      <c r="AA121">
        <f t="shared" si="29"/>
        <v>0.48099999999976717</v>
      </c>
      <c r="AB121">
        <f t="shared" si="30"/>
        <v>120.15860999994183</v>
      </c>
      <c r="AC121">
        <f t="shared" si="31"/>
        <v>0.39400000000023283</v>
      </c>
      <c r="AD121">
        <f t="shared" si="32"/>
        <v>98.425140000058164</v>
      </c>
    </row>
    <row r="122" spans="1:30" x14ac:dyDescent="0.35">
      <c r="A122">
        <v>32163.473000000002</v>
      </c>
      <c r="B122">
        <v>32163.937000000002</v>
      </c>
      <c r="C122">
        <v>32164.417000000001</v>
      </c>
      <c r="D122">
        <v>32164.907999999999</v>
      </c>
      <c r="E122">
        <v>32165.294000000002</v>
      </c>
      <c r="G122">
        <f t="shared" si="18"/>
        <v>0.46399999999994179</v>
      </c>
      <c r="H122">
        <f t="shared" si="19"/>
        <v>116.60783999998537</v>
      </c>
      <c r="I122">
        <f t="shared" si="20"/>
        <v>0.47999999999956344</v>
      </c>
      <c r="J122">
        <f t="shared" si="21"/>
        <v>120.62879999989029</v>
      </c>
      <c r="K122">
        <f t="shared" si="22"/>
        <v>0.49099999999816646</v>
      </c>
      <c r="L122">
        <f t="shared" si="23"/>
        <v>123.39320999953921</v>
      </c>
      <c r="M122">
        <f t="shared" si="24"/>
        <v>0.38600000000224099</v>
      </c>
      <c r="N122">
        <f t="shared" si="25"/>
        <v>97.005660000563182</v>
      </c>
      <c r="Q122">
        <v>7619.8519999999999</v>
      </c>
      <c r="R122">
        <v>7620.308</v>
      </c>
      <c r="S122">
        <v>7620.8050000000003</v>
      </c>
      <c r="T122">
        <v>7621.2870000000003</v>
      </c>
      <c r="U122">
        <v>7621.6779999999999</v>
      </c>
      <c r="W122">
        <f t="shared" si="26"/>
        <v>0.45600000000013097</v>
      </c>
      <c r="X122">
        <f t="shared" si="27"/>
        <v>113.91336000003272</v>
      </c>
      <c r="Y122">
        <f t="shared" si="33"/>
        <v>0.49700000000029831</v>
      </c>
      <c r="Z122">
        <f t="shared" si="28"/>
        <v>124.15557000007452</v>
      </c>
      <c r="AA122">
        <f t="shared" si="29"/>
        <v>0.4819999999999709</v>
      </c>
      <c r="AB122">
        <f t="shared" si="30"/>
        <v>120.40841999999273</v>
      </c>
      <c r="AC122">
        <f t="shared" si="31"/>
        <v>0.39099999999962165</v>
      </c>
      <c r="AD122">
        <f t="shared" si="32"/>
        <v>97.675709999905479</v>
      </c>
    </row>
    <row r="123" spans="1:30" x14ac:dyDescent="0.35">
      <c r="A123">
        <v>32164.589</v>
      </c>
      <c r="B123">
        <v>32165.038</v>
      </c>
      <c r="C123">
        <v>32165.54</v>
      </c>
      <c r="D123">
        <v>32166.028999999999</v>
      </c>
      <c r="E123">
        <v>32166.405999999999</v>
      </c>
      <c r="G123">
        <f t="shared" si="18"/>
        <v>0.44900000000052387</v>
      </c>
      <c r="H123">
        <f t="shared" si="19"/>
        <v>112.83819000013166</v>
      </c>
      <c r="I123">
        <f t="shared" si="20"/>
        <v>0.50200000000040745</v>
      </c>
      <c r="J123">
        <f t="shared" si="21"/>
        <v>126.1576200001024</v>
      </c>
      <c r="K123">
        <f t="shared" si="22"/>
        <v>0.48899999999775901</v>
      </c>
      <c r="L123">
        <f t="shared" si="23"/>
        <v>122.89058999943681</v>
      </c>
      <c r="M123">
        <f t="shared" si="24"/>
        <v>0.37700000000040745</v>
      </c>
      <c r="N123">
        <f t="shared" si="25"/>
        <v>94.743870000102405</v>
      </c>
      <c r="Q123">
        <v>7626.27</v>
      </c>
      <c r="R123">
        <v>7626.7309999999998</v>
      </c>
      <c r="S123">
        <v>7627.2380000000003</v>
      </c>
      <c r="T123">
        <v>7627.7089999999998</v>
      </c>
      <c r="U123">
        <v>7628.1080000000002</v>
      </c>
      <c r="W123">
        <f t="shared" si="26"/>
        <v>0.46099999999933061</v>
      </c>
      <c r="X123">
        <f t="shared" si="27"/>
        <v>115.16240999983278</v>
      </c>
      <c r="Y123">
        <f t="shared" si="33"/>
        <v>0.50700000000051659</v>
      </c>
      <c r="Z123">
        <f t="shared" si="28"/>
        <v>126.65367000012905</v>
      </c>
      <c r="AA123">
        <f t="shared" si="29"/>
        <v>0.47099999999954889</v>
      </c>
      <c r="AB123">
        <f t="shared" si="30"/>
        <v>117.66050999988731</v>
      </c>
      <c r="AC123">
        <f t="shared" si="31"/>
        <v>0.39900000000034197</v>
      </c>
      <c r="AD123">
        <f t="shared" si="32"/>
        <v>99.674190000085432</v>
      </c>
    </row>
    <row r="124" spans="1:30" x14ac:dyDescent="0.35">
      <c r="A124">
        <v>32165.704000000002</v>
      </c>
      <c r="B124">
        <v>32166.16</v>
      </c>
      <c r="C124">
        <v>32166.652999999998</v>
      </c>
      <c r="D124">
        <v>32167.133000000002</v>
      </c>
      <c r="E124">
        <v>32167.523000000001</v>
      </c>
      <c r="G124">
        <f t="shared" si="18"/>
        <v>0.45599999999831198</v>
      </c>
      <c r="H124">
        <f t="shared" si="19"/>
        <v>114.59735999957579</v>
      </c>
      <c r="I124">
        <f t="shared" si="20"/>
        <v>0.49299999999857391</v>
      </c>
      <c r="J124">
        <f t="shared" si="21"/>
        <v>123.89582999964161</v>
      </c>
      <c r="K124">
        <f t="shared" si="22"/>
        <v>0.48000000000320142</v>
      </c>
      <c r="L124">
        <f t="shared" si="23"/>
        <v>120.62880000080455</v>
      </c>
      <c r="M124">
        <f t="shared" si="24"/>
        <v>0.38999999999941792</v>
      </c>
      <c r="N124">
        <f t="shared" si="25"/>
        <v>98.01089999985372</v>
      </c>
      <c r="Q124">
        <v>7632.6419999999998</v>
      </c>
      <c r="R124">
        <v>7633.0839999999998</v>
      </c>
      <c r="S124">
        <v>7633.5940000000001</v>
      </c>
      <c r="T124">
        <v>7634.0739999999996</v>
      </c>
      <c r="U124">
        <v>7634.4660000000003</v>
      </c>
      <c r="W124">
        <f t="shared" si="26"/>
        <v>0.44200000000000728</v>
      </c>
      <c r="X124">
        <f t="shared" si="27"/>
        <v>110.41602000000182</v>
      </c>
      <c r="Y124">
        <f t="shared" si="33"/>
        <v>0.51000000000021828</v>
      </c>
      <c r="Z124">
        <f t="shared" si="28"/>
        <v>127.40310000005454</v>
      </c>
      <c r="AA124">
        <f t="shared" si="29"/>
        <v>0.47999999999956344</v>
      </c>
      <c r="AB124">
        <f t="shared" si="30"/>
        <v>119.90879999989095</v>
      </c>
      <c r="AC124">
        <f t="shared" si="31"/>
        <v>0.39200000000073487</v>
      </c>
      <c r="AD124">
        <f t="shared" si="32"/>
        <v>97.925520000183582</v>
      </c>
    </row>
    <row r="125" spans="1:30" x14ac:dyDescent="0.35">
      <c r="A125">
        <v>32166.819</v>
      </c>
      <c r="B125">
        <v>32167.271000000001</v>
      </c>
      <c r="C125">
        <v>32167.762999999999</v>
      </c>
      <c r="D125">
        <v>32168.234</v>
      </c>
      <c r="E125">
        <v>32168.627</v>
      </c>
      <c r="G125">
        <f t="shared" si="18"/>
        <v>0.45200000000113505</v>
      </c>
      <c r="H125">
        <f t="shared" si="19"/>
        <v>113.59212000028525</v>
      </c>
      <c r="I125">
        <f t="shared" si="20"/>
        <v>0.49199999999837019</v>
      </c>
      <c r="J125">
        <f t="shared" si="21"/>
        <v>123.64451999959041</v>
      </c>
      <c r="K125">
        <f t="shared" si="22"/>
        <v>0.47100000000136788</v>
      </c>
      <c r="L125">
        <f t="shared" si="23"/>
        <v>118.36701000034377</v>
      </c>
      <c r="M125">
        <f t="shared" si="24"/>
        <v>0.3930000000000291</v>
      </c>
      <c r="N125">
        <f t="shared" si="25"/>
        <v>98.764830000007322</v>
      </c>
      <c r="Q125">
        <v>7639.0720000000001</v>
      </c>
      <c r="R125">
        <v>7639.5290000000005</v>
      </c>
      <c r="S125">
        <v>7640.03</v>
      </c>
      <c r="T125">
        <v>7640.509</v>
      </c>
      <c r="U125">
        <v>7640.9009999999998</v>
      </c>
      <c r="W125">
        <f t="shared" si="26"/>
        <v>0.45700000000033469</v>
      </c>
      <c r="X125">
        <f t="shared" si="27"/>
        <v>114.16317000008361</v>
      </c>
      <c r="Y125">
        <f t="shared" si="33"/>
        <v>0.50099999999929423</v>
      </c>
      <c r="Z125">
        <f t="shared" si="28"/>
        <v>125.1548099998237</v>
      </c>
      <c r="AA125">
        <f t="shared" si="29"/>
        <v>0.47900000000026921</v>
      </c>
      <c r="AB125">
        <f t="shared" si="30"/>
        <v>119.65899000006725</v>
      </c>
      <c r="AC125">
        <f t="shared" si="31"/>
        <v>0.39199999999982538</v>
      </c>
      <c r="AD125">
        <f t="shared" si="32"/>
        <v>97.925519999956379</v>
      </c>
    </row>
    <row r="126" spans="1:30" x14ac:dyDescent="0.35">
      <c r="A126">
        <v>32167.931</v>
      </c>
      <c r="B126">
        <v>32168.383999999998</v>
      </c>
      <c r="C126">
        <v>32168.884999999998</v>
      </c>
      <c r="D126">
        <v>32169.366000000002</v>
      </c>
      <c r="E126">
        <v>32169.751</v>
      </c>
      <c r="G126">
        <f t="shared" si="18"/>
        <v>0.4529999999977008</v>
      </c>
      <c r="H126">
        <f t="shared" si="19"/>
        <v>113.84342999942218</v>
      </c>
      <c r="I126">
        <f t="shared" si="20"/>
        <v>0.50100000000020373</v>
      </c>
      <c r="J126">
        <f t="shared" si="21"/>
        <v>125.90631000005121</v>
      </c>
      <c r="K126">
        <f t="shared" si="22"/>
        <v>0.48100000000340515</v>
      </c>
      <c r="L126">
        <f t="shared" si="23"/>
        <v>120.88011000085575</v>
      </c>
      <c r="M126">
        <f t="shared" si="24"/>
        <v>0.38499999999839929</v>
      </c>
      <c r="N126">
        <f t="shared" si="25"/>
        <v>96.754349999597721</v>
      </c>
      <c r="Q126">
        <v>7646.4170000000004</v>
      </c>
      <c r="R126">
        <v>7646.8620000000001</v>
      </c>
      <c r="S126">
        <v>7647.3720000000003</v>
      </c>
      <c r="T126">
        <v>7647.8519999999999</v>
      </c>
      <c r="U126">
        <v>7648.2460000000001</v>
      </c>
      <c r="W126">
        <f t="shared" si="26"/>
        <v>0.44499999999970896</v>
      </c>
      <c r="X126">
        <f t="shared" si="27"/>
        <v>111.16544999992729</v>
      </c>
      <c r="Y126">
        <f t="shared" si="33"/>
        <v>0.51000000000021828</v>
      </c>
      <c r="Z126">
        <f t="shared" si="28"/>
        <v>127.40310000005454</v>
      </c>
      <c r="AA126">
        <f t="shared" si="29"/>
        <v>0.47999999999956344</v>
      </c>
      <c r="AB126">
        <f t="shared" si="30"/>
        <v>119.90879999989095</v>
      </c>
      <c r="AC126">
        <f t="shared" si="31"/>
        <v>0.39400000000023283</v>
      </c>
      <c r="AD126">
        <f t="shared" si="32"/>
        <v>98.425140000058164</v>
      </c>
    </row>
    <row r="127" spans="1:30" x14ac:dyDescent="0.35">
      <c r="A127">
        <v>32169.047999999999</v>
      </c>
      <c r="B127">
        <v>32169.496999999999</v>
      </c>
      <c r="C127">
        <v>32169.995999999999</v>
      </c>
      <c r="D127">
        <v>32170.476999999999</v>
      </c>
      <c r="E127">
        <v>32170.863000000001</v>
      </c>
      <c r="G127">
        <f t="shared" si="18"/>
        <v>0.44900000000052387</v>
      </c>
      <c r="H127">
        <f t="shared" si="19"/>
        <v>112.83819000013166</v>
      </c>
      <c r="I127">
        <f t="shared" si="20"/>
        <v>0.49899999999979627</v>
      </c>
      <c r="J127">
        <f t="shared" si="21"/>
        <v>125.4036899999488</v>
      </c>
      <c r="K127">
        <f t="shared" si="22"/>
        <v>0.48099999999976717</v>
      </c>
      <c r="L127">
        <f t="shared" si="23"/>
        <v>120.88010999994148</v>
      </c>
      <c r="M127">
        <f t="shared" si="24"/>
        <v>0.38600000000224099</v>
      </c>
      <c r="N127">
        <f t="shared" si="25"/>
        <v>97.005660000563182</v>
      </c>
      <c r="Q127">
        <v>7652.8149999999996</v>
      </c>
      <c r="R127">
        <v>7653.2740000000003</v>
      </c>
      <c r="S127">
        <v>7653.7740000000003</v>
      </c>
      <c r="T127">
        <v>7654.2550000000001</v>
      </c>
      <c r="U127">
        <v>7654.6469999999999</v>
      </c>
      <c r="W127">
        <f t="shared" si="26"/>
        <v>0.45900000000074215</v>
      </c>
      <c r="X127">
        <f t="shared" si="27"/>
        <v>114.6627900001854</v>
      </c>
      <c r="Y127">
        <f t="shared" si="33"/>
        <v>0.5</v>
      </c>
      <c r="Z127">
        <f t="shared" si="28"/>
        <v>124.905</v>
      </c>
      <c r="AA127">
        <f t="shared" si="29"/>
        <v>0.48099999999976717</v>
      </c>
      <c r="AB127">
        <f t="shared" si="30"/>
        <v>120.15860999994183</v>
      </c>
      <c r="AC127">
        <f t="shared" si="31"/>
        <v>0.39199999999982538</v>
      </c>
      <c r="AD127">
        <f t="shared" si="32"/>
        <v>97.925519999956379</v>
      </c>
    </row>
    <row r="128" spans="1:30" x14ac:dyDescent="0.35">
      <c r="A128">
        <v>32229.298999999999</v>
      </c>
      <c r="B128">
        <v>32229.743999999999</v>
      </c>
      <c r="C128">
        <v>32230.245999999999</v>
      </c>
      <c r="D128">
        <v>32230.725999999999</v>
      </c>
      <c r="E128">
        <v>32231.115000000002</v>
      </c>
      <c r="G128">
        <f t="shared" si="18"/>
        <v>0.44499999999970896</v>
      </c>
      <c r="H128">
        <f t="shared" si="19"/>
        <v>111.83294999992685</v>
      </c>
      <c r="I128">
        <f t="shared" si="20"/>
        <v>0.50200000000040745</v>
      </c>
      <c r="J128">
        <f t="shared" si="21"/>
        <v>126.1576200001024</v>
      </c>
      <c r="K128">
        <f t="shared" si="22"/>
        <v>0.47999999999956344</v>
      </c>
      <c r="L128">
        <f t="shared" si="23"/>
        <v>120.62879999989029</v>
      </c>
      <c r="M128">
        <f t="shared" si="24"/>
        <v>0.38900000000285218</v>
      </c>
      <c r="N128">
        <f t="shared" si="25"/>
        <v>97.759590000716784</v>
      </c>
      <c r="Q128">
        <v>7659.2430000000004</v>
      </c>
      <c r="R128">
        <v>7659.6970000000001</v>
      </c>
      <c r="S128">
        <v>7660.2079999999996</v>
      </c>
      <c r="T128">
        <v>7660.6790000000001</v>
      </c>
      <c r="U128">
        <v>7661.0739999999996</v>
      </c>
      <c r="W128">
        <f t="shared" si="26"/>
        <v>0.45399999999972351</v>
      </c>
      <c r="X128">
        <f t="shared" si="27"/>
        <v>113.41373999993093</v>
      </c>
      <c r="Y128">
        <f t="shared" si="33"/>
        <v>0.51099999999951251</v>
      </c>
      <c r="Z128">
        <f t="shared" si="28"/>
        <v>127.65290999987822</v>
      </c>
      <c r="AA128">
        <f t="shared" si="29"/>
        <v>0.47100000000045839</v>
      </c>
      <c r="AB128">
        <f t="shared" si="30"/>
        <v>117.66051000011451</v>
      </c>
      <c r="AC128">
        <f t="shared" si="31"/>
        <v>0.39499999999952706</v>
      </c>
      <c r="AD128">
        <f t="shared" si="32"/>
        <v>98.674949999881861</v>
      </c>
    </row>
    <row r="129" spans="1:30" x14ac:dyDescent="0.35">
      <c r="A129">
        <v>32230.387999999999</v>
      </c>
      <c r="B129">
        <v>32230.827000000001</v>
      </c>
      <c r="C129">
        <v>32231.347000000002</v>
      </c>
      <c r="D129">
        <v>32231.808000000001</v>
      </c>
      <c r="E129">
        <v>32232.206999999999</v>
      </c>
      <c r="G129">
        <f t="shared" si="18"/>
        <v>0.43900000000212458</v>
      </c>
      <c r="H129">
        <f t="shared" si="19"/>
        <v>110.32509000053393</v>
      </c>
      <c r="I129">
        <f t="shared" si="20"/>
        <v>0.52000000000043656</v>
      </c>
      <c r="J129">
        <f t="shared" si="21"/>
        <v>130.68120000010973</v>
      </c>
      <c r="K129">
        <f t="shared" si="22"/>
        <v>0.46099999999933061</v>
      </c>
      <c r="L129">
        <f t="shared" si="23"/>
        <v>115.85390999983177</v>
      </c>
      <c r="M129">
        <f t="shared" si="24"/>
        <v>0.39899999999761349</v>
      </c>
      <c r="N129">
        <f t="shared" si="25"/>
        <v>100.27268999940024</v>
      </c>
      <c r="Q129">
        <v>7665.625</v>
      </c>
      <c r="R129">
        <v>7666.0730000000003</v>
      </c>
      <c r="S129">
        <v>7666.5829999999996</v>
      </c>
      <c r="T129">
        <v>7667.0630000000001</v>
      </c>
      <c r="U129">
        <v>7667.4539999999997</v>
      </c>
      <c r="W129">
        <f t="shared" si="26"/>
        <v>0.44800000000032014</v>
      </c>
      <c r="X129">
        <f t="shared" si="27"/>
        <v>111.91488000007998</v>
      </c>
      <c r="Y129">
        <f t="shared" si="33"/>
        <v>0.50999999999930878</v>
      </c>
      <c r="Z129">
        <f t="shared" si="28"/>
        <v>127.40309999982733</v>
      </c>
      <c r="AA129">
        <f t="shared" si="29"/>
        <v>0.48000000000047294</v>
      </c>
      <c r="AB129">
        <f t="shared" si="30"/>
        <v>119.90880000011815</v>
      </c>
      <c r="AC129">
        <f t="shared" si="31"/>
        <v>0.39099999999962165</v>
      </c>
      <c r="AD129">
        <f t="shared" si="32"/>
        <v>97.675709999905479</v>
      </c>
    </row>
    <row r="130" spans="1:30" x14ac:dyDescent="0.35">
      <c r="A130">
        <v>32231.474999999999</v>
      </c>
      <c r="B130">
        <v>32231.919999999998</v>
      </c>
      <c r="C130">
        <v>32232.429</v>
      </c>
      <c r="D130">
        <v>32232.899000000001</v>
      </c>
      <c r="E130">
        <v>32233.294000000002</v>
      </c>
      <c r="G130">
        <f t="shared" si="18"/>
        <v>0.44499999999970896</v>
      </c>
      <c r="H130">
        <f t="shared" si="19"/>
        <v>111.83294999992685</v>
      </c>
      <c r="I130">
        <f t="shared" si="20"/>
        <v>0.50900000000183354</v>
      </c>
      <c r="J130">
        <f t="shared" si="21"/>
        <v>127.91679000046079</v>
      </c>
      <c r="K130">
        <f t="shared" si="22"/>
        <v>0.47000000000116415</v>
      </c>
      <c r="L130">
        <f t="shared" si="23"/>
        <v>118.11570000029256</v>
      </c>
      <c r="M130">
        <f t="shared" si="24"/>
        <v>0.39500000000043656</v>
      </c>
      <c r="N130">
        <f t="shared" si="25"/>
        <v>99.267450000109719</v>
      </c>
      <c r="Q130">
        <v>7672.0420000000004</v>
      </c>
      <c r="R130">
        <v>7672.4979999999996</v>
      </c>
      <c r="S130">
        <v>7672.9970000000003</v>
      </c>
      <c r="T130">
        <v>7673.4769999999999</v>
      </c>
      <c r="U130">
        <v>7673.8739999999998</v>
      </c>
      <c r="W130">
        <f t="shared" si="26"/>
        <v>0.45599999999922147</v>
      </c>
      <c r="X130">
        <f t="shared" si="27"/>
        <v>113.91335999980552</v>
      </c>
      <c r="Y130">
        <f t="shared" si="33"/>
        <v>0.49900000000070577</v>
      </c>
      <c r="Z130">
        <f t="shared" si="28"/>
        <v>124.6551900001763</v>
      </c>
      <c r="AA130">
        <f t="shared" si="29"/>
        <v>0.47999999999956344</v>
      </c>
      <c r="AB130">
        <f t="shared" si="30"/>
        <v>119.90879999989095</v>
      </c>
      <c r="AC130">
        <f t="shared" si="31"/>
        <v>0.39699999999993452</v>
      </c>
      <c r="AD130">
        <f t="shared" si="32"/>
        <v>99.174569999983646</v>
      </c>
    </row>
    <row r="131" spans="1:30" x14ac:dyDescent="0.35">
      <c r="A131">
        <v>32232.562999999998</v>
      </c>
      <c r="B131">
        <v>32233.03</v>
      </c>
      <c r="C131">
        <v>32233.510999999999</v>
      </c>
      <c r="D131">
        <v>32234.002</v>
      </c>
      <c r="E131">
        <v>32234.386999999999</v>
      </c>
      <c r="G131">
        <f t="shared" si="18"/>
        <v>0.46700000000055297</v>
      </c>
      <c r="H131">
        <f t="shared" si="19"/>
        <v>117.36177000013897</v>
      </c>
      <c r="I131">
        <f t="shared" si="20"/>
        <v>0.48099999999976717</v>
      </c>
      <c r="J131">
        <f t="shared" si="21"/>
        <v>120.88010999994148</v>
      </c>
      <c r="K131">
        <f t="shared" si="22"/>
        <v>0.49100000000180444</v>
      </c>
      <c r="L131">
        <f t="shared" si="23"/>
        <v>123.39321000045348</v>
      </c>
      <c r="M131">
        <f t="shared" si="24"/>
        <v>0.38499999999839929</v>
      </c>
      <c r="N131">
        <f t="shared" si="25"/>
        <v>96.754349999597721</v>
      </c>
      <c r="Q131">
        <v>7679.3829999999998</v>
      </c>
      <c r="R131">
        <v>7679.8310000000001</v>
      </c>
      <c r="S131">
        <v>7680.3419999999996</v>
      </c>
      <c r="T131">
        <v>7680.8220000000001</v>
      </c>
      <c r="U131">
        <v>7681.2139999999999</v>
      </c>
      <c r="W131">
        <f t="shared" si="26"/>
        <v>0.44800000000032014</v>
      </c>
      <c r="X131">
        <f t="shared" si="27"/>
        <v>111.91488000007998</v>
      </c>
      <c r="Y131">
        <f t="shared" ref="Y131:Y146" si="34">S131-R131</f>
        <v>0.51099999999951251</v>
      </c>
      <c r="Z131">
        <f t="shared" si="28"/>
        <v>127.65290999987822</v>
      </c>
      <c r="AA131">
        <f t="shared" si="29"/>
        <v>0.48000000000047294</v>
      </c>
      <c r="AB131">
        <f t="shared" si="30"/>
        <v>119.90880000011815</v>
      </c>
      <c r="AC131">
        <f t="shared" si="31"/>
        <v>0.39199999999982538</v>
      </c>
      <c r="AD131">
        <f t="shared" si="32"/>
        <v>97.925519999956379</v>
      </c>
    </row>
    <row r="132" spans="1:30" x14ac:dyDescent="0.35">
      <c r="A132">
        <v>32233.651000000002</v>
      </c>
      <c r="B132">
        <v>32234.132000000001</v>
      </c>
      <c r="C132">
        <v>32234.602999999999</v>
      </c>
      <c r="D132">
        <v>32235.074000000001</v>
      </c>
      <c r="E132">
        <v>32235.467000000001</v>
      </c>
      <c r="G132">
        <f t="shared" ref="G132:G195" si="35">B132-A132</f>
        <v>0.48099999999976717</v>
      </c>
      <c r="H132">
        <f t="shared" ref="H132:H195" si="36">G132*251.31</f>
        <v>120.88010999994148</v>
      </c>
      <c r="I132">
        <f t="shared" ref="I132:I195" si="37">C132-B132</f>
        <v>0.4709999999977299</v>
      </c>
      <c r="J132">
        <f t="shared" ref="J132:J195" si="38">I132*251.31</f>
        <v>118.3670099994295</v>
      </c>
      <c r="K132">
        <f t="shared" ref="K132:K195" si="39">D132-C132</f>
        <v>0.47100000000136788</v>
      </c>
      <c r="L132">
        <f t="shared" ref="L132:L195" si="40">K132*251.31</f>
        <v>118.36701000034377</v>
      </c>
      <c r="M132">
        <f t="shared" ref="M132:M195" si="41">E132-D132</f>
        <v>0.3930000000000291</v>
      </c>
      <c r="N132">
        <f t="shared" ref="N132:N195" si="42">M132*251.31</f>
        <v>98.764830000007322</v>
      </c>
      <c r="Q132">
        <v>7685.7669999999998</v>
      </c>
      <c r="R132">
        <v>7686.2269999999999</v>
      </c>
      <c r="S132">
        <v>7686.7240000000002</v>
      </c>
      <c r="T132">
        <v>7687.2049999999999</v>
      </c>
      <c r="U132">
        <v>7687.6</v>
      </c>
      <c r="W132">
        <f t="shared" ref="W132:W146" si="43">R132-Q132</f>
        <v>0.46000000000003638</v>
      </c>
      <c r="X132">
        <f t="shared" ref="X132:X146" si="44">W132*249.81</f>
        <v>114.91260000000909</v>
      </c>
      <c r="Y132">
        <f t="shared" si="34"/>
        <v>0.49700000000029831</v>
      </c>
      <c r="Z132">
        <f t="shared" ref="Z132:Z146" si="45">Y132*249.81</f>
        <v>124.15557000007452</v>
      </c>
      <c r="AA132">
        <f t="shared" ref="AA132:AA146" si="46">T132-S132</f>
        <v>0.48099999999976717</v>
      </c>
      <c r="AB132">
        <f t="shared" ref="AB132:AB146" si="47">AA132*249.81</f>
        <v>120.15860999994183</v>
      </c>
      <c r="AC132">
        <f t="shared" ref="AC132:AC146" si="48">U132-T132</f>
        <v>0.39500000000043656</v>
      </c>
      <c r="AD132">
        <f t="shared" ref="AD132:AD146" si="49">AC132*249.81</f>
        <v>98.674950000109064</v>
      </c>
    </row>
    <row r="133" spans="1:30" x14ac:dyDescent="0.35">
      <c r="A133">
        <v>32234.767</v>
      </c>
      <c r="B133">
        <v>32235.214</v>
      </c>
      <c r="C133">
        <v>32235.706999999999</v>
      </c>
      <c r="D133">
        <v>32236.187000000002</v>
      </c>
      <c r="E133">
        <v>32236.576000000001</v>
      </c>
      <c r="G133">
        <f t="shared" si="35"/>
        <v>0.44700000000011642</v>
      </c>
      <c r="H133">
        <f t="shared" si="36"/>
        <v>112.33557000002926</v>
      </c>
      <c r="I133">
        <f t="shared" si="37"/>
        <v>0.49299999999857391</v>
      </c>
      <c r="J133">
        <f t="shared" si="38"/>
        <v>123.89582999964161</v>
      </c>
      <c r="K133">
        <f t="shared" si="39"/>
        <v>0.48000000000320142</v>
      </c>
      <c r="L133">
        <f t="shared" si="40"/>
        <v>120.62880000080455</v>
      </c>
      <c r="M133">
        <f t="shared" si="41"/>
        <v>0.3889999999992142</v>
      </c>
      <c r="N133">
        <f t="shared" si="42"/>
        <v>97.759589999802515</v>
      </c>
      <c r="Q133">
        <v>7692.152</v>
      </c>
      <c r="R133">
        <v>7692.598</v>
      </c>
      <c r="S133">
        <v>7693.1080000000002</v>
      </c>
      <c r="T133">
        <v>7693.5780000000004</v>
      </c>
      <c r="U133">
        <v>7693.9780000000001</v>
      </c>
      <c r="W133">
        <f t="shared" si="43"/>
        <v>0.44599999999991269</v>
      </c>
      <c r="X133">
        <f t="shared" si="44"/>
        <v>111.41525999997819</v>
      </c>
      <c r="Y133">
        <f t="shared" si="34"/>
        <v>0.51000000000021828</v>
      </c>
      <c r="Z133">
        <f t="shared" si="45"/>
        <v>127.40310000005454</v>
      </c>
      <c r="AA133">
        <f t="shared" si="46"/>
        <v>0.47000000000025466</v>
      </c>
      <c r="AB133">
        <f t="shared" si="47"/>
        <v>117.41070000006361</v>
      </c>
      <c r="AC133">
        <f t="shared" si="48"/>
        <v>0.3999999999996362</v>
      </c>
      <c r="AD133">
        <f t="shared" si="49"/>
        <v>99.923999999909114</v>
      </c>
    </row>
    <row r="134" spans="1:30" x14ac:dyDescent="0.35">
      <c r="A134">
        <v>32235.882000000001</v>
      </c>
      <c r="B134">
        <v>32236.338</v>
      </c>
      <c r="C134">
        <v>32236.835999999999</v>
      </c>
      <c r="D134">
        <v>32237.309000000001</v>
      </c>
      <c r="E134">
        <v>32237.694</v>
      </c>
      <c r="G134">
        <f t="shared" si="35"/>
        <v>0.45599999999831198</v>
      </c>
      <c r="H134">
        <f t="shared" si="36"/>
        <v>114.59735999957579</v>
      </c>
      <c r="I134">
        <f t="shared" si="37"/>
        <v>0.49799999999959255</v>
      </c>
      <c r="J134">
        <f t="shared" si="38"/>
        <v>125.1523799998976</v>
      </c>
      <c r="K134">
        <f t="shared" si="39"/>
        <v>0.47300000000177533</v>
      </c>
      <c r="L134">
        <f t="shared" si="40"/>
        <v>118.86963000044616</v>
      </c>
      <c r="M134">
        <f t="shared" si="41"/>
        <v>0.38499999999839929</v>
      </c>
      <c r="N134">
        <f t="shared" si="42"/>
        <v>96.754349999597721</v>
      </c>
      <c r="Q134">
        <v>7698.5860000000002</v>
      </c>
      <c r="R134">
        <v>7699.0439999999999</v>
      </c>
      <c r="S134">
        <v>7699.5439999999999</v>
      </c>
      <c r="T134">
        <v>7700.0219999999999</v>
      </c>
      <c r="U134">
        <v>7700.415</v>
      </c>
      <c r="W134">
        <f t="shared" si="43"/>
        <v>0.45799999999962893</v>
      </c>
      <c r="X134">
        <f t="shared" si="44"/>
        <v>114.41297999990731</v>
      </c>
      <c r="Y134">
        <f t="shared" si="34"/>
        <v>0.5</v>
      </c>
      <c r="Z134">
        <f t="shared" si="45"/>
        <v>124.905</v>
      </c>
      <c r="AA134">
        <f t="shared" si="46"/>
        <v>0.47800000000006548</v>
      </c>
      <c r="AB134">
        <f t="shared" si="47"/>
        <v>119.40918000001636</v>
      </c>
      <c r="AC134">
        <f t="shared" si="48"/>
        <v>0.3930000000000291</v>
      </c>
      <c r="AD134">
        <f t="shared" si="49"/>
        <v>98.175330000007278</v>
      </c>
    </row>
    <row r="135" spans="1:30" x14ac:dyDescent="0.35">
      <c r="A135">
        <v>32236.998</v>
      </c>
      <c r="B135">
        <v>32237.448</v>
      </c>
      <c r="C135">
        <v>32237.948</v>
      </c>
      <c r="D135">
        <v>32238.420999999998</v>
      </c>
      <c r="E135">
        <v>32238.812999999998</v>
      </c>
      <c r="G135">
        <f t="shared" si="35"/>
        <v>0.4500000000007276</v>
      </c>
      <c r="H135">
        <f t="shared" si="36"/>
        <v>113.08950000018285</v>
      </c>
      <c r="I135">
        <f t="shared" si="37"/>
        <v>0.5</v>
      </c>
      <c r="J135">
        <f t="shared" si="38"/>
        <v>125.655</v>
      </c>
      <c r="K135">
        <f t="shared" si="39"/>
        <v>0.47299999999813735</v>
      </c>
      <c r="L135">
        <f t="shared" si="40"/>
        <v>118.8696299995319</v>
      </c>
      <c r="M135">
        <f t="shared" si="41"/>
        <v>0.39199999999982538</v>
      </c>
      <c r="N135">
        <f t="shared" si="42"/>
        <v>98.513519999956117</v>
      </c>
      <c r="Q135">
        <v>7704.9719999999998</v>
      </c>
      <c r="R135">
        <v>7705.4269999999997</v>
      </c>
      <c r="S135">
        <v>7705.9380000000001</v>
      </c>
      <c r="T135">
        <v>7706.4080000000004</v>
      </c>
      <c r="U135">
        <v>7706.808</v>
      </c>
      <c r="W135">
        <f t="shared" si="43"/>
        <v>0.45499999999992724</v>
      </c>
      <c r="X135">
        <f t="shared" si="44"/>
        <v>113.66354999998183</v>
      </c>
      <c r="Y135">
        <f t="shared" si="34"/>
        <v>0.51100000000042201</v>
      </c>
      <c r="Z135">
        <f t="shared" si="45"/>
        <v>127.65291000010542</v>
      </c>
      <c r="AA135">
        <f t="shared" si="46"/>
        <v>0.47000000000025466</v>
      </c>
      <c r="AB135">
        <f t="shared" si="47"/>
        <v>117.41070000006361</v>
      </c>
      <c r="AC135">
        <f t="shared" si="48"/>
        <v>0.3999999999996362</v>
      </c>
      <c r="AD135">
        <f t="shared" si="49"/>
        <v>99.923999999909114</v>
      </c>
    </row>
    <row r="136" spans="1:30" x14ac:dyDescent="0.35">
      <c r="A136">
        <v>32238.123</v>
      </c>
      <c r="B136">
        <v>32238.581999999999</v>
      </c>
      <c r="C136">
        <v>32239.080999999998</v>
      </c>
      <c r="D136">
        <v>32239.552</v>
      </c>
      <c r="E136">
        <v>32239.947</v>
      </c>
      <c r="G136">
        <f t="shared" si="35"/>
        <v>0.45899999999892316</v>
      </c>
      <c r="H136">
        <f t="shared" si="36"/>
        <v>115.35128999972937</v>
      </c>
      <c r="I136">
        <f t="shared" si="37"/>
        <v>0.49899999999979627</v>
      </c>
      <c r="J136">
        <f t="shared" si="38"/>
        <v>125.4036899999488</v>
      </c>
      <c r="K136">
        <f t="shared" si="39"/>
        <v>0.47100000000136788</v>
      </c>
      <c r="L136">
        <f t="shared" si="40"/>
        <v>118.36701000034377</v>
      </c>
      <c r="M136">
        <f t="shared" si="41"/>
        <v>0.39500000000043656</v>
      </c>
      <c r="N136">
        <f t="shared" si="42"/>
        <v>99.267450000109719</v>
      </c>
      <c r="Q136">
        <v>7712.3220000000001</v>
      </c>
      <c r="R136">
        <v>7712.7709999999997</v>
      </c>
      <c r="S136">
        <v>7713.2820000000002</v>
      </c>
      <c r="T136">
        <v>7713.7610000000004</v>
      </c>
      <c r="U136">
        <v>7714.152</v>
      </c>
      <c r="W136">
        <f t="shared" si="43"/>
        <v>0.44899999999961437</v>
      </c>
      <c r="X136">
        <f t="shared" si="44"/>
        <v>112.16468999990367</v>
      </c>
      <c r="Y136">
        <f t="shared" si="34"/>
        <v>0.51100000000042201</v>
      </c>
      <c r="Z136">
        <f t="shared" si="45"/>
        <v>127.65291000010542</v>
      </c>
      <c r="AA136">
        <f t="shared" si="46"/>
        <v>0.47900000000026921</v>
      </c>
      <c r="AB136">
        <f t="shared" si="47"/>
        <v>119.65899000006725</v>
      </c>
      <c r="AC136">
        <f t="shared" si="48"/>
        <v>0.39099999999962165</v>
      </c>
      <c r="AD136">
        <f t="shared" si="49"/>
        <v>97.675709999905479</v>
      </c>
    </row>
    <row r="137" spans="1:30" x14ac:dyDescent="0.35">
      <c r="A137">
        <v>32239.616000000002</v>
      </c>
      <c r="B137">
        <v>32240.062000000002</v>
      </c>
      <c r="C137">
        <v>32240.573</v>
      </c>
      <c r="D137">
        <v>32241.034</v>
      </c>
      <c r="E137">
        <v>32241.432000000001</v>
      </c>
      <c r="G137">
        <f t="shared" si="35"/>
        <v>0.44599999999991269</v>
      </c>
      <c r="H137">
        <f t="shared" si="36"/>
        <v>112.08425999997806</v>
      </c>
      <c r="I137">
        <f t="shared" si="37"/>
        <v>0.51099999999860302</v>
      </c>
      <c r="J137">
        <f t="shared" si="38"/>
        <v>128.41940999964893</v>
      </c>
      <c r="K137">
        <f t="shared" si="39"/>
        <v>0.46099999999933061</v>
      </c>
      <c r="L137">
        <f t="shared" si="40"/>
        <v>115.85390999983177</v>
      </c>
      <c r="M137">
        <f t="shared" si="41"/>
        <v>0.39800000000104774</v>
      </c>
      <c r="N137">
        <f t="shared" si="42"/>
        <v>100.02138000026331</v>
      </c>
      <c r="Q137">
        <v>7718.7079999999996</v>
      </c>
      <c r="R137">
        <v>7719.1549999999997</v>
      </c>
      <c r="S137">
        <v>7719.6639999999998</v>
      </c>
      <c r="T137">
        <v>7720.1440000000002</v>
      </c>
      <c r="U137">
        <v>7720.5389999999998</v>
      </c>
      <c r="W137">
        <f t="shared" si="43"/>
        <v>0.44700000000011642</v>
      </c>
      <c r="X137">
        <f t="shared" si="44"/>
        <v>111.66507000002909</v>
      </c>
      <c r="Y137">
        <f t="shared" si="34"/>
        <v>0.50900000000001455</v>
      </c>
      <c r="Z137">
        <f t="shared" si="45"/>
        <v>127.15329000000364</v>
      </c>
      <c r="AA137">
        <f t="shared" si="46"/>
        <v>0.48000000000047294</v>
      </c>
      <c r="AB137">
        <f t="shared" si="47"/>
        <v>119.90880000011815</v>
      </c>
      <c r="AC137">
        <f t="shared" si="48"/>
        <v>0.39499999999952706</v>
      </c>
      <c r="AD137">
        <f t="shared" si="49"/>
        <v>98.674949999881861</v>
      </c>
    </row>
    <row r="138" spans="1:30" x14ac:dyDescent="0.35">
      <c r="A138">
        <v>32240.822</v>
      </c>
      <c r="B138">
        <v>32241.263999999999</v>
      </c>
      <c r="C138">
        <v>32241.764999999999</v>
      </c>
      <c r="D138">
        <v>32242.246999999999</v>
      </c>
      <c r="E138">
        <v>32242.633999999998</v>
      </c>
      <c r="G138">
        <f t="shared" si="35"/>
        <v>0.44199999999909778</v>
      </c>
      <c r="H138">
        <f t="shared" si="36"/>
        <v>111.07901999977327</v>
      </c>
      <c r="I138">
        <f t="shared" si="37"/>
        <v>0.50100000000020373</v>
      </c>
      <c r="J138">
        <f t="shared" si="38"/>
        <v>125.90631000005121</v>
      </c>
      <c r="K138">
        <f t="shared" si="39"/>
        <v>0.4819999999999709</v>
      </c>
      <c r="L138">
        <f t="shared" si="40"/>
        <v>121.13141999999269</v>
      </c>
      <c r="M138">
        <f t="shared" si="41"/>
        <v>0.38699999999880674</v>
      </c>
      <c r="N138">
        <f t="shared" si="42"/>
        <v>97.256969999700118</v>
      </c>
      <c r="Q138">
        <v>7725.0919999999996</v>
      </c>
      <c r="R138">
        <v>7725.5479999999998</v>
      </c>
      <c r="S138">
        <v>7726.06</v>
      </c>
      <c r="T138">
        <v>7726.5280000000002</v>
      </c>
      <c r="U138">
        <v>7726.9250000000002</v>
      </c>
      <c r="W138">
        <f t="shared" si="43"/>
        <v>0.45600000000013097</v>
      </c>
      <c r="X138">
        <f t="shared" si="44"/>
        <v>113.91336000003272</v>
      </c>
      <c r="Y138">
        <f t="shared" si="34"/>
        <v>0.51200000000062573</v>
      </c>
      <c r="Z138">
        <f t="shared" si="45"/>
        <v>127.90272000015632</v>
      </c>
      <c r="AA138">
        <f t="shared" si="46"/>
        <v>0.4679999999998472</v>
      </c>
      <c r="AB138">
        <f t="shared" si="47"/>
        <v>116.91107999996183</v>
      </c>
      <c r="AC138">
        <f t="shared" si="48"/>
        <v>0.39699999999993452</v>
      </c>
      <c r="AD138">
        <f t="shared" si="49"/>
        <v>99.174569999983646</v>
      </c>
    </row>
    <row r="139" spans="1:30" x14ac:dyDescent="0.35">
      <c r="A139">
        <v>32242.18</v>
      </c>
      <c r="B139">
        <v>32242.637999999999</v>
      </c>
      <c r="C139">
        <v>32243.127</v>
      </c>
      <c r="D139">
        <v>32243.598999999998</v>
      </c>
      <c r="E139">
        <v>32243.993999999999</v>
      </c>
      <c r="G139">
        <f t="shared" si="35"/>
        <v>0.45799999999871943</v>
      </c>
      <c r="H139">
        <f t="shared" si="36"/>
        <v>115.09997999967818</v>
      </c>
      <c r="I139">
        <f t="shared" si="37"/>
        <v>0.48900000000139698</v>
      </c>
      <c r="J139">
        <f t="shared" si="38"/>
        <v>122.89059000035108</v>
      </c>
      <c r="K139">
        <f t="shared" si="39"/>
        <v>0.47199999999793363</v>
      </c>
      <c r="L139">
        <f t="shared" si="40"/>
        <v>118.6183199994807</v>
      </c>
      <c r="M139">
        <f t="shared" si="41"/>
        <v>0.39500000000043656</v>
      </c>
      <c r="N139">
        <f t="shared" si="42"/>
        <v>99.267450000109719</v>
      </c>
      <c r="Q139">
        <v>7731.509</v>
      </c>
      <c r="R139">
        <v>7731.9530000000004</v>
      </c>
      <c r="S139">
        <v>7732.4610000000002</v>
      </c>
      <c r="T139">
        <v>7732.942</v>
      </c>
      <c r="U139">
        <v>7733.3339999999998</v>
      </c>
      <c r="W139">
        <f t="shared" si="43"/>
        <v>0.44400000000041473</v>
      </c>
      <c r="X139">
        <f t="shared" si="44"/>
        <v>110.91564000010361</v>
      </c>
      <c r="Y139">
        <f t="shared" si="34"/>
        <v>0.50799999999981083</v>
      </c>
      <c r="Z139">
        <f t="shared" si="45"/>
        <v>126.90347999995274</v>
      </c>
      <c r="AA139">
        <f t="shared" si="46"/>
        <v>0.48099999999976717</v>
      </c>
      <c r="AB139">
        <f t="shared" si="47"/>
        <v>120.15860999994183</v>
      </c>
      <c r="AC139">
        <f t="shared" si="48"/>
        <v>0.39199999999982538</v>
      </c>
      <c r="AD139">
        <f t="shared" si="49"/>
        <v>97.925519999956379</v>
      </c>
    </row>
    <row r="140" spans="1:30" x14ac:dyDescent="0.35">
      <c r="A140">
        <v>32243.64</v>
      </c>
      <c r="B140">
        <v>32244.108</v>
      </c>
      <c r="C140">
        <v>32244.588</v>
      </c>
      <c r="D140">
        <v>32245.091</v>
      </c>
      <c r="E140">
        <v>32245.46</v>
      </c>
      <c r="G140">
        <f t="shared" si="35"/>
        <v>0.4680000000007567</v>
      </c>
      <c r="H140">
        <f t="shared" si="36"/>
        <v>117.61308000019017</v>
      </c>
      <c r="I140">
        <f t="shared" si="37"/>
        <v>0.47999999999956344</v>
      </c>
      <c r="J140">
        <f t="shared" si="38"/>
        <v>120.62879999989029</v>
      </c>
      <c r="K140">
        <f t="shared" si="39"/>
        <v>0.50300000000061118</v>
      </c>
      <c r="L140">
        <f t="shared" si="40"/>
        <v>126.4089300001536</v>
      </c>
      <c r="M140">
        <f t="shared" si="41"/>
        <v>0.36899999999877764</v>
      </c>
      <c r="N140">
        <f t="shared" si="42"/>
        <v>92.733389999692804</v>
      </c>
      <c r="Q140">
        <v>7737.8980000000001</v>
      </c>
      <c r="R140">
        <v>7738.3559999999998</v>
      </c>
      <c r="S140">
        <v>7738.8670000000002</v>
      </c>
      <c r="T140">
        <v>7739.3370000000004</v>
      </c>
      <c r="U140">
        <v>7739.7290000000003</v>
      </c>
      <c r="W140">
        <f t="shared" si="43"/>
        <v>0.45799999999962893</v>
      </c>
      <c r="X140">
        <f t="shared" si="44"/>
        <v>114.41297999990731</v>
      </c>
      <c r="Y140">
        <f t="shared" si="34"/>
        <v>0.51100000000042201</v>
      </c>
      <c r="Z140">
        <f t="shared" si="45"/>
        <v>127.65291000010542</v>
      </c>
      <c r="AA140">
        <f t="shared" si="46"/>
        <v>0.47000000000025466</v>
      </c>
      <c r="AB140">
        <f t="shared" si="47"/>
        <v>117.41070000006361</v>
      </c>
      <c r="AC140">
        <f t="shared" si="48"/>
        <v>0.39199999999982538</v>
      </c>
      <c r="AD140">
        <f t="shared" si="49"/>
        <v>97.925519999956379</v>
      </c>
    </row>
    <row r="141" spans="1:30" x14ac:dyDescent="0.35">
      <c r="A141">
        <v>32244.863000000001</v>
      </c>
      <c r="B141">
        <v>32245.311000000002</v>
      </c>
      <c r="C141">
        <v>32245.812000000002</v>
      </c>
      <c r="D141">
        <v>32246.292000000001</v>
      </c>
      <c r="E141">
        <v>32246.682000000001</v>
      </c>
      <c r="G141">
        <f t="shared" si="35"/>
        <v>0.44800000000032014</v>
      </c>
      <c r="H141">
        <f t="shared" si="36"/>
        <v>112.58688000008046</v>
      </c>
      <c r="I141">
        <f t="shared" si="37"/>
        <v>0.50100000000020373</v>
      </c>
      <c r="J141">
        <f t="shared" si="38"/>
        <v>125.90631000005121</v>
      </c>
      <c r="K141">
        <f t="shared" si="39"/>
        <v>0.47999999999956344</v>
      </c>
      <c r="L141">
        <f t="shared" si="40"/>
        <v>120.62879999989029</v>
      </c>
      <c r="M141">
        <f t="shared" si="41"/>
        <v>0.38999999999941792</v>
      </c>
      <c r="N141">
        <f t="shared" si="42"/>
        <v>98.01089999985372</v>
      </c>
      <c r="Q141">
        <v>7745.2860000000001</v>
      </c>
      <c r="R141">
        <v>7745.7309999999998</v>
      </c>
      <c r="S141">
        <v>7746.24</v>
      </c>
      <c r="T141">
        <v>7746.72</v>
      </c>
      <c r="U141">
        <v>7747.1149999999998</v>
      </c>
      <c r="W141">
        <f t="shared" si="43"/>
        <v>0.44499999999970896</v>
      </c>
      <c r="X141">
        <f t="shared" si="44"/>
        <v>111.16544999992729</v>
      </c>
      <c r="Y141">
        <f t="shared" si="34"/>
        <v>0.50900000000001455</v>
      </c>
      <c r="Z141">
        <f t="shared" si="45"/>
        <v>127.15329000000364</v>
      </c>
      <c r="AA141">
        <f t="shared" si="46"/>
        <v>0.48000000000047294</v>
      </c>
      <c r="AB141">
        <f t="shared" si="47"/>
        <v>119.90880000011815</v>
      </c>
      <c r="AC141">
        <f t="shared" si="48"/>
        <v>0.39499999999952706</v>
      </c>
      <c r="AD141">
        <f t="shared" si="49"/>
        <v>98.674949999881861</v>
      </c>
    </row>
    <row r="142" spans="1:30" x14ac:dyDescent="0.35">
      <c r="A142">
        <v>32246.396000000001</v>
      </c>
      <c r="B142">
        <v>32246.841</v>
      </c>
      <c r="C142">
        <v>32247.343000000001</v>
      </c>
      <c r="D142">
        <v>32247.813999999998</v>
      </c>
      <c r="E142">
        <v>32248.206999999999</v>
      </c>
      <c r="G142">
        <f t="shared" si="35"/>
        <v>0.44499999999970896</v>
      </c>
      <c r="H142">
        <f t="shared" si="36"/>
        <v>111.83294999992685</v>
      </c>
      <c r="I142">
        <f t="shared" si="37"/>
        <v>0.50200000000040745</v>
      </c>
      <c r="J142">
        <f t="shared" si="38"/>
        <v>126.1576200001024</v>
      </c>
      <c r="K142">
        <f t="shared" si="39"/>
        <v>0.4709999999977299</v>
      </c>
      <c r="L142">
        <f t="shared" si="40"/>
        <v>118.3670099994295</v>
      </c>
      <c r="M142">
        <f t="shared" si="41"/>
        <v>0.3930000000000291</v>
      </c>
      <c r="N142">
        <f t="shared" si="42"/>
        <v>98.764830000007322</v>
      </c>
      <c r="Q142">
        <v>7751.6620000000003</v>
      </c>
      <c r="R142">
        <v>7752.1170000000002</v>
      </c>
      <c r="S142">
        <v>7752.6139999999996</v>
      </c>
      <c r="T142">
        <v>7753.0940000000001</v>
      </c>
      <c r="U142">
        <v>7753.4880000000003</v>
      </c>
      <c r="W142">
        <f t="shared" si="43"/>
        <v>0.45499999999992724</v>
      </c>
      <c r="X142">
        <f t="shared" si="44"/>
        <v>113.66354999998183</v>
      </c>
      <c r="Y142">
        <f t="shared" si="34"/>
        <v>0.49699999999938882</v>
      </c>
      <c r="Z142">
        <f t="shared" si="45"/>
        <v>124.15556999984732</v>
      </c>
      <c r="AA142">
        <f t="shared" si="46"/>
        <v>0.48000000000047294</v>
      </c>
      <c r="AB142">
        <f t="shared" si="47"/>
        <v>119.90880000011815</v>
      </c>
      <c r="AC142">
        <f t="shared" si="48"/>
        <v>0.39400000000023283</v>
      </c>
      <c r="AD142">
        <f t="shared" si="49"/>
        <v>98.425140000058164</v>
      </c>
    </row>
    <row r="143" spans="1:30" x14ac:dyDescent="0.35">
      <c r="A143">
        <v>32247.577000000001</v>
      </c>
      <c r="B143">
        <v>32248.034</v>
      </c>
      <c r="C143">
        <v>32248.544999999998</v>
      </c>
      <c r="D143">
        <v>32249.007000000001</v>
      </c>
      <c r="E143">
        <v>32249.407999999999</v>
      </c>
      <c r="G143">
        <f t="shared" si="35"/>
        <v>0.4569999999985157</v>
      </c>
      <c r="H143">
        <f t="shared" si="36"/>
        <v>114.84866999962698</v>
      </c>
      <c r="I143">
        <f t="shared" si="37"/>
        <v>0.51099999999860302</v>
      </c>
      <c r="J143">
        <f t="shared" si="38"/>
        <v>128.41940999964893</v>
      </c>
      <c r="K143">
        <f t="shared" si="39"/>
        <v>0.46200000000317232</v>
      </c>
      <c r="L143">
        <f t="shared" si="40"/>
        <v>116.10522000079723</v>
      </c>
      <c r="M143">
        <f t="shared" si="41"/>
        <v>0.40099999999802094</v>
      </c>
      <c r="N143">
        <f t="shared" si="42"/>
        <v>100.77530999950264</v>
      </c>
      <c r="Q143">
        <v>7758.0950000000003</v>
      </c>
      <c r="R143">
        <v>7758.5479999999998</v>
      </c>
      <c r="S143">
        <v>7759.0479999999998</v>
      </c>
      <c r="T143">
        <v>7759.5280000000002</v>
      </c>
      <c r="U143">
        <v>7759.924</v>
      </c>
      <c r="W143">
        <f t="shared" si="43"/>
        <v>0.45299999999951979</v>
      </c>
      <c r="X143">
        <f t="shared" si="44"/>
        <v>113.16392999988004</v>
      </c>
      <c r="Y143">
        <f t="shared" si="34"/>
        <v>0.5</v>
      </c>
      <c r="Z143">
        <f t="shared" si="45"/>
        <v>124.905</v>
      </c>
      <c r="AA143">
        <f t="shared" si="46"/>
        <v>0.48000000000047294</v>
      </c>
      <c r="AB143">
        <f t="shared" si="47"/>
        <v>119.90880000011815</v>
      </c>
      <c r="AC143">
        <f t="shared" si="48"/>
        <v>0.39599999999973079</v>
      </c>
      <c r="AD143">
        <f t="shared" si="49"/>
        <v>98.924759999932746</v>
      </c>
    </row>
    <row r="144" spans="1:30" x14ac:dyDescent="0.35">
      <c r="A144">
        <v>32249.048999999999</v>
      </c>
      <c r="B144">
        <v>32249.506000000001</v>
      </c>
      <c r="C144">
        <v>32249.996999999999</v>
      </c>
      <c r="D144">
        <v>32250.467000000001</v>
      </c>
      <c r="E144">
        <v>32250.865000000002</v>
      </c>
      <c r="G144">
        <f t="shared" si="35"/>
        <v>0.45700000000215368</v>
      </c>
      <c r="H144">
        <f t="shared" si="36"/>
        <v>114.84867000054125</v>
      </c>
      <c r="I144">
        <f t="shared" si="37"/>
        <v>0.49099999999816646</v>
      </c>
      <c r="J144">
        <f t="shared" si="38"/>
        <v>123.39320999953921</v>
      </c>
      <c r="K144">
        <f t="shared" si="39"/>
        <v>0.47000000000116415</v>
      </c>
      <c r="L144">
        <f t="shared" si="40"/>
        <v>118.11570000029256</v>
      </c>
      <c r="M144">
        <f t="shared" si="41"/>
        <v>0.39800000000104774</v>
      </c>
      <c r="N144">
        <f t="shared" si="42"/>
        <v>100.02138000026331</v>
      </c>
      <c r="Q144">
        <v>7764.4790000000003</v>
      </c>
      <c r="R144">
        <v>7764.9319999999998</v>
      </c>
      <c r="S144">
        <v>7765.4430000000002</v>
      </c>
      <c r="T144">
        <v>7765.9129999999996</v>
      </c>
      <c r="U144">
        <v>7766.31</v>
      </c>
      <c r="W144">
        <f t="shared" si="43"/>
        <v>0.45299999999951979</v>
      </c>
      <c r="X144">
        <f t="shared" si="44"/>
        <v>113.16392999988004</v>
      </c>
      <c r="Y144">
        <f t="shared" si="34"/>
        <v>0.51100000000042201</v>
      </c>
      <c r="Z144">
        <f t="shared" si="45"/>
        <v>127.65291000010542</v>
      </c>
      <c r="AA144">
        <f t="shared" si="46"/>
        <v>0.46999999999934516</v>
      </c>
      <c r="AB144">
        <f t="shared" si="47"/>
        <v>117.41069999983641</v>
      </c>
      <c r="AC144">
        <f t="shared" si="48"/>
        <v>0.39700000000084401</v>
      </c>
      <c r="AD144">
        <f t="shared" si="49"/>
        <v>99.174570000210849</v>
      </c>
    </row>
    <row r="145" spans="1:31" x14ac:dyDescent="0.35">
      <c r="A145">
        <v>32250.315999999999</v>
      </c>
      <c r="B145">
        <v>32250.776999999998</v>
      </c>
      <c r="C145">
        <v>32251.269</v>
      </c>
      <c r="D145">
        <v>32251.78</v>
      </c>
      <c r="E145">
        <v>32252.152999999998</v>
      </c>
      <c r="G145">
        <f t="shared" si="35"/>
        <v>0.46099999999933061</v>
      </c>
      <c r="H145">
        <f t="shared" si="36"/>
        <v>115.85390999983177</v>
      </c>
      <c r="I145">
        <f t="shared" si="37"/>
        <v>0.49200000000200816</v>
      </c>
      <c r="J145">
        <f t="shared" si="38"/>
        <v>123.64452000050467</v>
      </c>
      <c r="K145">
        <f t="shared" si="39"/>
        <v>0.51099999999860302</v>
      </c>
      <c r="L145">
        <f t="shared" si="40"/>
        <v>128.41940999964893</v>
      </c>
      <c r="M145">
        <f t="shared" si="41"/>
        <v>0.37299999999959255</v>
      </c>
      <c r="N145">
        <f t="shared" si="42"/>
        <v>93.738629999897597</v>
      </c>
      <c r="Q145">
        <v>7770.8620000000001</v>
      </c>
      <c r="R145">
        <v>7771.308</v>
      </c>
      <c r="S145">
        <v>7771.8180000000002</v>
      </c>
      <c r="T145">
        <v>7772.2889999999998</v>
      </c>
      <c r="U145">
        <v>7772.6880000000001</v>
      </c>
      <c r="W145">
        <f t="shared" si="43"/>
        <v>0.44599999999991269</v>
      </c>
      <c r="X145">
        <f t="shared" si="44"/>
        <v>111.41525999997819</v>
      </c>
      <c r="Y145">
        <f t="shared" si="34"/>
        <v>0.51000000000021828</v>
      </c>
      <c r="Z145">
        <f t="shared" si="45"/>
        <v>127.40310000005454</v>
      </c>
      <c r="AA145">
        <f t="shared" si="46"/>
        <v>0.47099999999954889</v>
      </c>
      <c r="AB145">
        <f t="shared" si="47"/>
        <v>117.66050999988731</v>
      </c>
      <c r="AC145">
        <f t="shared" si="48"/>
        <v>0.39900000000034197</v>
      </c>
      <c r="AD145">
        <f t="shared" si="49"/>
        <v>99.674190000085432</v>
      </c>
    </row>
    <row r="146" spans="1:31" x14ac:dyDescent="0.35">
      <c r="A146">
        <v>32251.546999999999</v>
      </c>
      <c r="B146">
        <v>32251.99</v>
      </c>
      <c r="C146">
        <v>32252.491999999998</v>
      </c>
      <c r="D146">
        <v>32252.962</v>
      </c>
      <c r="E146">
        <v>32253.362000000001</v>
      </c>
      <c r="G146">
        <f t="shared" si="35"/>
        <v>0.44300000000293949</v>
      </c>
      <c r="H146">
        <f t="shared" si="36"/>
        <v>111.33033000073873</v>
      </c>
      <c r="I146">
        <f t="shared" si="37"/>
        <v>0.50199999999676947</v>
      </c>
      <c r="J146">
        <f t="shared" si="38"/>
        <v>126.15761999918814</v>
      </c>
      <c r="K146">
        <f t="shared" si="39"/>
        <v>0.47000000000116415</v>
      </c>
      <c r="L146">
        <f t="shared" si="40"/>
        <v>118.11570000029256</v>
      </c>
      <c r="M146">
        <f t="shared" si="41"/>
        <v>0.40000000000145519</v>
      </c>
      <c r="N146">
        <f t="shared" si="42"/>
        <v>100.5240000003657</v>
      </c>
      <c r="Q146">
        <v>7778.26</v>
      </c>
      <c r="R146">
        <v>7778.7219999999998</v>
      </c>
      <c r="S146">
        <v>7779.2209999999995</v>
      </c>
      <c r="T146">
        <v>7779.7030000000004</v>
      </c>
      <c r="U146">
        <v>7780.0959999999995</v>
      </c>
      <c r="W146">
        <f t="shared" si="43"/>
        <v>0.46199999999953434</v>
      </c>
      <c r="X146">
        <f t="shared" si="44"/>
        <v>115.41221999988367</v>
      </c>
      <c r="Y146">
        <f t="shared" si="34"/>
        <v>0.49899999999979627</v>
      </c>
      <c r="Z146">
        <f t="shared" si="45"/>
        <v>124.6551899999491</v>
      </c>
      <c r="AA146">
        <f t="shared" si="46"/>
        <v>0.48200000000088039</v>
      </c>
      <c r="AB146">
        <f t="shared" si="47"/>
        <v>120.40842000021993</v>
      </c>
      <c r="AC146">
        <f t="shared" si="48"/>
        <v>0.39299999999911961</v>
      </c>
      <c r="AD146">
        <f t="shared" si="49"/>
        <v>98.175329999780075</v>
      </c>
    </row>
    <row r="147" spans="1:31" x14ac:dyDescent="0.35">
      <c r="A147">
        <v>32253.146000000001</v>
      </c>
      <c r="B147">
        <v>32253.591</v>
      </c>
      <c r="C147">
        <v>32254.092000000001</v>
      </c>
      <c r="D147">
        <v>32254.572</v>
      </c>
      <c r="E147">
        <v>32254.960999999999</v>
      </c>
      <c r="G147">
        <f t="shared" si="35"/>
        <v>0.44499999999970896</v>
      </c>
      <c r="H147">
        <f t="shared" si="36"/>
        <v>111.83294999992685</v>
      </c>
      <c r="I147">
        <f t="shared" si="37"/>
        <v>0.50100000000020373</v>
      </c>
      <c r="J147">
        <f t="shared" si="38"/>
        <v>125.90631000005121</v>
      </c>
      <c r="K147">
        <f t="shared" si="39"/>
        <v>0.47999999999956344</v>
      </c>
      <c r="L147">
        <f t="shared" si="40"/>
        <v>120.62879999989029</v>
      </c>
      <c r="M147">
        <f t="shared" si="41"/>
        <v>0.3889999999992142</v>
      </c>
      <c r="N147">
        <f t="shared" si="42"/>
        <v>97.759589999802515</v>
      </c>
      <c r="X147">
        <f>AVERAGE(X3:X146)</f>
        <v>113.96019937499335</v>
      </c>
      <c r="Z147">
        <f>AVERAGE(Z3:Z146)</f>
        <v>126.21823729167389</v>
      </c>
      <c r="AB147">
        <f>AVERAGE(AB3:AB146)</f>
        <v>118.82282041665975</v>
      </c>
      <c r="AD147">
        <f>AVERAGE(AD3:AD146)</f>
        <v>98.664541250007602</v>
      </c>
    </row>
    <row r="148" spans="1:31" x14ac:dyDescent="0.35">
      <c r="A148">
        <v>32351.627</v>
      </c>
      <c r="B148">
        <v>32352.059000000001</v>
      </c>
      <c r="C148">
        <v>32352.57</v>
      </c>
      <c r="D148">
        <v>32353.052</v>
      </c>
      <c r="E148">
        <v>32353.442999999999</v>
      </c>
      <c r="G148">
        <f t="shared" si="35"/>
        <v>0.43200000000069849</v>
      </c>
      <c r="H148">
        <f t="shared" si="36"/>
        <v>108.56592000017554</v>
      </c>
      <c r="I148">
        <f t="shared" si="37"/>
        <v>0.51099999999860302</v>
      </c>
      <c r="J148">
        <f t="shared" si="38"/>
        <v>128.41940999964893</v>
      </c>
      <c r="K148">
        <f t="shared" si="39"/>
        <v>0.4819999999999709</v>
      </c>
      <c r="L148">
        <f t="shared" si="40"/>
        <v>121.13141999999269</v>
      </c>
      <c r="M148">
        <f t="shared" si="41"/>
        <v>0.39099999999962165</v>
      </c>
      <c r="N148">
        <f t="shared" si="42"/>
        <v>98.262209999904911</v>
      </c>
    </row>
    <row r="149" spans="1:31" x14ac:dyDescent="0.35">
      <c r="A149">
        <v>32352.713</v>
      </c>
      <c r="B149">
        <v>32353.151999999998</v>
      </c>
      <c r="C149">
        <v>32353.662</v>
      </c>
      <c r="D149">
        <v>32354.132000000001</v>
      </c>
      <c r="E149">
        <v>32354.532999999999</v>
      </c>
      <c r="G149">
        <f t="shared" si="35"/>
        <v>0.4389999999984866</v>
      </c>
      <c r="H149">
        <f t="shared" si="36"/>
        <v>110.32508999961966</v>
      </c>
      <c r="I149">
        <f t="shared" si="37"/>
        <v>0.51000000000203727</v>
      </c>
      <c r="J149">
        <f t="shared" si="38"/>
        <v>128.168100000512</v>
      </c>
      <c r="K149">
        <f t="shared" si="39"/>
        <v>0.47000000000116415</v>
      </c>
      <c r="L149">
        <f t="shared" si="40"/>
        <v>118.11570000029256</v>
      </c>
      <c r="M149">
        <f t="shared" si="41"/>
        <v>0.40099999999802094</v>
      </c>
      <c r="N149">
        <f t="shared" si="42"/>
        <v>100.77530999950264</v>
      </c>
    </row>
    <row r="150" spans="1:31" x14ac:dyDescent="0.35">
      <c r="A150">
        <v>32353.8</v>
      </c>
      <c r="B150">
        <v>32354.234</v>
      </c>
      <c r="C150">
        <v>32354.743999999999</v>
      </c>
      <c r="D150">
        <v>32355.224999999999</v>
      </c>
      <c r="E150">
        <v>32355.615000000002</v>
      </c>
      <c r="G150">
        <f t="shared" si="35"/>
        <v>0.43400000000110595</v>
      </c>
      <c r="H150">
        <f t="shared" si="36"/>
        <v>109.06854000027793</v>
      </c>
      <c r="I150">
        <f t="shared" si="37"/>
        <v>0.50999999999839929</v>
      </c>
      <c r="J150">
        <f t="shared" si="38"/>
        <v>128.16809999959773</v>
      </c>
      <c r="K150">
        <f t="shared" si="39"/>
        <v>0.48099999999976717</v>
      </c>
      <c r="L150">
        <f t="shared" si="40"/>
        <v>120.88010999994148</v>
      </c>
      <c r="M150">
        <f t="shared" si="41"/>
        <v>0.3900000000030559</v>
      </c>
      <c r="N150">
        <f t="shared" si="42"/>
        <v>98.010900000767975</v>
      </c>
    </row>
    <row r="151" spans="1:31" x14ac:dyDescent="0.35">
      <c r="A151">
        <v>32354.887999999999</v>
      </c>
      <c r="B151">
        <v>32355.334999999999</v>
      </c>
      <c r="C151">
        <v>32355.834999999999</v>
      </c>
      <c r="D151">
        <v>32356.307000000001</v>
      </c>
      <c r="E151">
        <v>32356.706999999999</v>
      </c>
      <c r="G151">
        <f t="shared" si="35"/>
        <v>0.44700000000011642</v>
      </c>
      <c r="H151">
        <f t="shared" si="36"/>
        <v>112.33557000002926</v>
      </c>
      <c r="I151">
        <f t="shared" si="37"/>
        <v>0.5</v>
      </c>
      <c r="J151">
        <f t="shared" si="38"/>
        <v>125.655</v>
      </c>
      <c r="K151">
        <f t="shared" si="39"/>
        <v>0.47200000000157161</v>
      </c>
      <c r="L151">
        <f t="shared" si="40"/>
        <v>118.61832000039496</v>
      </c>
      <c r="M151">
        <f t="shared" si="41"/>
        <v>0.39999999999781721</v>
      </c>
      <c r="N151">
        <f t="shared" si="42"/>
        <v>100.52399999945145</v>
      </c>
    </row>
    <row r="152" spans="1:31" x14ac:dyDescent="0.35">
      <c r="A152">
        <v>32355.976999999999</v>
      </c>
      <c r="B152">
        <v>32356.447</v>
      </c>
      <c r="C152">
        <v>32356.928</v>
      </c>
      <c r="D152">
        <v>32357.419000000002</v>
      </c>
      <c r="E152">
        <v>32357.794999999998</v>
      </c>
      <c r="G152">
        <f t="shared" si="35"/>
        <v>0.47000000000116415</v>
      </c>
      <c r="H152">
        <f t="shared" si="36"/>
        <v>118.11570000029256</v>
      </c>
      <c r="I152">
        <f t="shared" si="37"/>
        <v>0.48099999999976717</v>
      </c>
      <c r="J152">
        <f t="shared" si="38"/>
        <v>120.88010999994148</v>
      </c>
      <c r="K152">
        <f t="shared" si="39"/>
        <v>0.49100000000180444</v>
      </c>
      <c r="L152">
        <f t="shared" si="40"/>
        <v>123.39321000045348</v>
      </c>
      <c r="M152">
        <f t="shared" si="41"/>
        <v>0.37599999999656575</v>
      </c>
      <c r="N152">
        <f t="shared" si="42"/>
        <v>94.492559999136944</v>
      </c>
    </row>
    <row r="153" spans="1:31" x14ac:dyDescent="0.35">
      <c r="A153">
        <v>32357.087</v>
      </c>
      <c r="B153">
        <v>32357.528999999999</v>
      </c>
      <c r="C153">
        <v>32358.041000000001</v>
      </c>
      <c r="D153">
        <v>32358.5</v>
      </c>
      <c r="E153">
        <v>32358.902999999998</v>
      </c>
      <c r="G153">
        <f t="shared" si="35"/>
        <v>0.44199999999909778</v>
      </c>
      <c r="H153">
        <f t="shared" si="36"/>
        <v>111.07901999977327</v>
      </c>
      <c r="I153">
        <f t="shared" si="37"/>
        <v>0.51200000000244472</v>
      </c>
      <c r="J153">
        <f t="shared" si="38"/>
        <v>128.67072000061438</v>
      </c>
      <c r="K153">
        <f t="shared" si="39"/>
        <v>0.45899999999892316</v>
      </c>
      <c r="L153">
        <f t="shared" si="40"/>
        <v>115.35128999972937</v>
      </c>
      <c r="M153">
        <f t="shared" si="41"/>
        <v>0.40299999999842839</v>
      </c>
      <c r="N153">
        <f t="shared" si="42"/>
        <v>101.27792999960504</v>
      </c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x14ac:dyDescent="0.35">
      <c r="A154">
        <v>32358.202000000001</v>
      </c>
      <c r="B154">
        <v>32358.663</v>
      </c>
      <c r="C154">
        <v>32359.151999999998</v>
      </c>
      <c r="D154">
        <v>32359.623</v>
      </c>
      <c r="E154">
        <v>32360.018</v>
      </c>
      <c r="G154">
        <f t="shared" si="35"/>
        <v>0.46099999999933061</v>
      </c>
      <c r="H154">
        <f t="shared" si="36"/>
        <v>115.85390999983177</v>
      </c>
      <c r="I154">
        <f t="shared" si="37"/>
        <v>0.48899999999775901</v>
      </c>
      <c r="J154">
        <f t="shared" si="38"/>
        <v>122.89058999943681</v>
      </c>
      <c r="K154">
        <f t="shared" si="39"/>
        <v>0.47100000000136788</v>
      </c>
      <c r="L154">
        <f t="shared" si="40"/>
        <v>118.36701000034377</v>
      </c>
      <c r="M154">
        <f t="shared" si="41"/>
        <v>0.39500000000043656</v>
      </c>
      <c r="N154">
        <f t="shared" si="42"/>
        <v>99.267450000109719</v>
      </c>
      <c r="U154" s="1"/>
      <c r="V154" s="1"/>
      <c r="W154" s="1"/>
      <c r="X154" s="1" t="s">
        <v>310</v>
      </c>
      <c r="Y154" s="1"/>
      <c r="Z154" s="1" t="s">
        <v>299</v>
      </c>
      <c r="AA154" s="1"/>
      <c r="AB154" s="1" t="s">
        <v>300</v>
      </c>
      <c r="AC154" s="1"/>
      <c r="AD154" s="1" t="s">
        <v>311</v>
      </c>
      <c r="AE154" s="1"/>
    </row>
    <row r="155" spans="1:31" x14ac:dyDescent="0.35">
      <c r="A155">
        <v>32359.332999999999</v>
      </c>
      <c r="B155">
        <v>32359.782999999999</v>
      </c>
      <c r="C155">
        <v>32360.294000000002</v>
      </c>
      <c r="D155">
        <v>32360.786</v>
      </c>
      <c r="E155">
        <v>32361.16</v>
      </c>
      <c r="G155">
        <f t="shared" si="35"/>
        <v>0.4500000000007276</v>
      </c>
      <c r="H155">
        <f t="shared" si="36"/>
        <v>113.08950000018285</v>
      </c>
      <c r="I155">
        <f t="shared" si="37"/>
        <v>0.51100000000224099</v>
      </c>
      <c r="J155">
        <f t="shared" si="38"/>
        <v>128.41941000056318</v>
      </c>
      <c r="K155">
        <f t="shared" si="39"/>
        <v>0.49199999999837019</v>
      </c>
      <c r="L155">
        <f t="shared" si="40"/>
        <v>123.64451999959041</v>
      </c>
      <c r="M155">
        <f t="shared" si="41"/>
        <v>0.37399999999979627</v>
      </c>
      <c r="N155">
        <f t="shared" si="42"/>
        <v>93.989939999948803</v>
      </c>
      <c r="U155" s="1"/>
      <c r="V155" s="1" t="s">
        <v>307</v>
      </c>
      <c r="W155" s="1"/>
      <c r="X155" s="1">
        <v>113.96019937499335</v>
      </c>
      <c r="Y155" s="1"/>
      <c r="Z155" s="1">
        <v>126.21823729167389</v>
      </c>
      <c r="AA155" s="1"/>
      <c r="AB155" s="1">
        <v>118.82282041665975</v>
      </c>
      <c r="AC155" s="1"/>
      <c r="AD155" s="1">
        <v>98.664541250007602</v>
      </c>
      <c r="AE155" s="1"/>
    </row>
    <row r="156" spans="1:31" x14ac:dyDescent="0.35">
      <c r="A156">
        <v>32360.566999999999</v>
      </c>
      <c r="B156">
        <v>32361.017</v>
      </c>
      <c r="C156">
        <v>32361.516</v>
      </c>
      <c r="D156">
        <v>32361.986000000001</v>
      </c>
      <c r="E156">
        <v>32362.383999999998</v>
      </c>
      <c r="G156">
        <f t="shared" si="35"/>
        <v>0.4500000000007276</v>
      </c>
      <c r="H156">
        <f t="shared" si="36"/>
        <v>113.08950000018285</v>
      </c>
      <c r="I156">
        <f t="shared" si="37"/>
        <v>0.49899999999979627</v>
      </c>
      <c r="J156">
        <f t="shared" si="38"/>
        <v>125.4036899999488</v>
      </c>
      <c r="K156">
        <f t="shared" si="39"/>
        <v>0.47000000000116415</v>
      </c>
      <c r="L156">
        <f t="shared" si="40"/>
        <v>118.11570000029256</v>
      </c>
      <c r="M156">
        <f t="shared" si="41"/>
        <v>0.39799999999740976</v>
      </c>
      <c r="N156">
        <f t="shared" si="42"/>
        <v>100.02137999934905</v>
      </c>
      <c r="U156" s="1"/>
      <c r="V156" s="1" t="s">
        <v>306</v>
      </c>
      <c r="W156" s="1"/>
      <c r="X156" s="1">
        <v>113.86952369019525</v>
      </c>
      <c r="Y156" s="1"/>
      <c r="Z156" s="1">
        <v>126.12080839427546</v>
      </c>
      <c r="AA156" s="1"/>
      <c r="AB156" s="1">
        <v>121.59793630997004</v>
      </c>
      <c r="AC156" s="1"/>
      <c r="AD156" s="1">
        <v>99.189579295688176</v>
      </c>
      <c r="AE156" s="1"/>
    </row>
    <row r="157" spans="1:31" x14ac:dyDescent="0.35">
      <c r="A157">
        <v>32362.098000000002</v>
      </c>
      <c r="B157">
        <v>32362.558000000001</v>
      </c>
      <c r="C157">
        <v>32363.047999999999</v>
      </c>
      <c r="D157">
        <v>32363.538</v>
      </c>
      <c r="E157">
        <v>32363.919000000002</v>
      </c>
      <c r="G157">
        <f t="shared" si="35"/>
        <v>0.45999999999912689</v>
      </c>
      <c r="H157">
        <f t="shared" si="36"/>
        <v>115.60259999978058</v>
      </c>
      <c r="I157">
        <f t="shared" si="37"/>
        <v>0.48999999999796273</v>
      </c>
      <c r="J157">
        <f t="shared" si="38"/>
        <v>123.14189999948802</v>
      </c>
      <c r="K157">
        <f t="shared" si="39"/>
        <v>0.49000000000160071</v>
      </c>
      <c r="L157">
        <f t="shared" si="40"/>
        <v>123.14190000040227</v>
      </c>
      <c r="M157">
        <f t="shared" si="41"/>
        <v>0.38100000000122236</v>
      </c>
      <c r="N157">
        <f t="shared" si="42"/>
        <v>95.749110000307198</v>
      </c>
      <c r="U157" s="1"/>
      <c r="V157" s="1"/>
      <c r="W157" s="1"/>
      <c r="X157" s="1">
        <f>X155-X156</f>
        <v>9.0675684798100065E-2</v>
      </c>
      <c r="Y157" s="1"/>
      <c r="Z157" s="1">
        <f>Z155-Z156</f>
        <v>9.7428897398430081E-2</v>
      </c>
      <c r="AA157" s="1"/>
      <c r="AB157" s="1">
        <f>AB155-AB156</f>
        <v>-2.7751158933102857</v>
      </c>
      <c r="AC157" s="1"/>
      <c r="AD157" s="1">
        <f>AD155-AD156</f>
        <v>-0.52503804568057433</v>
      </c>
      <c r="AE157" s="1"/>
    </row>
    <row r="158" spans="1:31" x14ac:dyDescent="0.35">
      <c r="A158">
        <v>32363.404999999999</v>
      </c>
      <c r="B158">
        <v>32363.86</v>
      </c>
      <c r="C158">
        <v>32364.36</v>
      </c>
      <c r="D158">
        <v>32364.83</v>
      </c>
      <c r="E158">
        <v>32365.226999999999</v>
      </c>
      <c r="G158">
        <f t="shared" si="35"/>
        <v>0.45500000000174623</v>
      </c>
      <c r="H158">
        <f t="shared" si="36"/>
        <v>114.34605000043885</v>
      </c>
      <c r="I158">
        <f t="shared" si="37"/>
        <v>0.5</v>
      </c>
      <c r="J158">
        <f t="shared" si="38"/>
        <v>125.655</v>
      </c>
      <c r="K158">
        <f t="shared" si="39"/>
        <v>0.47000000000116415</v>
      </c>
      <c r="L158">
        <f t="shared" si="40"/>
        <v>118.11570000029256</v>
      </c>
      <c r="M158">
        <f t="shared" si="41"/>
        <v>0.39699999999720603</v>
      </c>
      <c r="N158">
        <f t="shared" si="42"/>
        <v>99.770069999297846</v>
      </c>
      <c r="U158" s="1"/>
      <c r="V158" s="1" t="s">
        <v>312</v>
      </c>
      <c r="W158" s="1"/>
      <c r="X158" s="1">
        <f>X157+Z157+AB157+AD157</f>
        <v>-3.1120493567943299</v>
      </c>
      <c r="Y158" s="1"/>
      <c r="Z158" s="1"/>
      <c r="AA158" s="1"/>
      <c r="AB158" s="1"/>
      <c r="AC158" s="1"/>
      <c r="AD158" s="1"/>
      <c r="AE158" s="1"/>
    </row>
    <row r="159" spans="1:31" x14ac:dyDescent="0.35">
      <c r="A159">
        <v>32364.696</v>
      </c>
      <c r="B159">
        <v>32365.151999999998</v>
      </c>
      <c r="C159">
        <v>32365.651999999998</v>
      </c>
      <c r="D159">
        <v>32366.143</v>
      </c>
      <c r="E159">
        <v>32366.525000000001</v>
      </c>
      <c r="G159">
        <f t="shared" si="35"/>
        <v>0.45599999999831198</v>
      </c>
      <c r="H159">
        <f t="shared" si="36"/>
        <v>114.59735999957579</v>
      </c>
      <c r="I159">
        <f t="shared" si="37"/>
        <v>0.5</v>
      </c>
      <c r="J159">
        <f t="shared" si="38"/>
        <v>125.655</v>
      </c>
      <c r="K159">
        <f t="shared" si="39"/>
        <v>0.49100000000180444</v>
      </c>
      <c r="L159">
        <f t="shared" si="40"/>
        <v>123.39321000045348</v>
      </c>
      <c r="M159">
        <f t="shared" si="41"/>
        <v>0.38200000000142609</v>
      </c>
      <c r="N159">
        <f t="shared" si="42"/>
        <v>96.000420000358389</v>
      </c>
    </row>
    <row r="160" spans="1:31" x14ac:dyDescent="0.35">
      <c r="A160">
        <v>32366.087</v>
      </c>
      <c r="B160">
        <v>32366.543000000001</v>
      </c>
      <c r="C160">
        <v>32367.044999999998</v>
      </c>
      <c r="D160">
        <v>32367.513999999999</v>
      </c>
      <c r="E160">
        <v>32367.906999999999</v>
      </c>
      <c r="G160">
        <f t="shared" si="35"/>
        <v>0.45600000000194996</v>
      </c>
      <c r="H160">
        <f t="shared" si="36"/>
        <v>114.59736000049004</v>
      </c>
      <c r="I160">
        <f t="shared" si="37"/>
        <v>0.50199999999676947</v>
      </c>
      <c r="J160">
        <f t="shared" si="38"/>
        <v>126.15761999918814</v>
      </c>
      <c r="K160">
        <f t="shared" si="39"/>
        <v>0.46900000000096043</v>
      </c>
      <c r="L160">
        <f t="shared" si="40"/>
        <v>117.86439000024137</v>
      </c>
      <c r="M160">
        <f t="shared" si="41"/>
        <v>0.3930000000000291</v>
      </c>
      <c r="N160">
        <f t="shared" si="42"/>
        <v>98.764830000007322</v>
      </c>
    </row>
    <row r="161" spans="1:14" x14ac:dyDescent="0.35">
      <c r="A161">
        <v>32367.56</v>
      </c>
      <c r="B161">
        <v>32368.005000000001</v>
      </c>
      <c r="C161">
        <v>32368.507000000001</v>
      </c>
      <c r="D161">
        <v>32368.987000000001</v>
      </c>
      <c r="E161">
        <v>32369.371999999999</v>
      </c>
      <c r="G161">
        <f t="shared" si="35"/>
        <v>0.44499999999970896</v>
      </c>
      <c r="H161">
        <f t="shared" si="36"/>
        <v>111.83294999992685</v>
      </c>
      <c r="I161">
        <f t="shared" si="37"/>
        <v>0.50200000000040745</v>
      </c>
      <c r="J161">
        <f t="shared" si="38"/>
        <v>126.1576200001024</v>
      </c>
      <c r="K161">
        <f t="shared" si="39"/>
        <v>0.47999999999956344</v>
      </c>
      <c r="L161">
        <f t="shared" si="40"/>
        <v>120.62879999989029</v>
      </c>
      <c r="M161">
        <f t="shared" si="41"/>
        <v>0.38499999999839929</v>
      </c>
      <c r="N161">
        <f t="shared" si="42"/>
        <v>96.754349999597721</v>
      </c>
    </row>
    <row r="162" spans="1:14" x14ac:dyDescent="0.35">
      <c r="A162">
        <v>32368.789000000001</v>
      </c>
      <c r="B162">
        <v>32369.237000000001</v>
      </c>
      <c r="C162">
        <v>32369.746999999999</v>
      </c>
      <c r="D162">
        <v>32370.239000000001</v>
      </c>
      <c r="E162">
        <v>32370.62</v>
      </c>
      <c r="G162">
        <f t="shared" si="35"/>
        <v>0.44800000000032014</v>
      </c>
      <c r="H162">
        <f t="shared" si="36"/>
        <v>112.58688000008046</v>
      </c>
      <c r="I162">
        <f t="shared" si="37"/>
        <v>0.50999999999839929</v>
      </c>
      <c r="J162">
        <f t="shared" si="38"/>
        <v>128.16809999959773</v>
      </c>
      <c r="K162">
        <f t="shared" si="39"/>
        <v>0.49200000000200816</v>
      </c>
      <c r="L162">
        <f t="shared" si="40"/>
        <v>123.64452000050467</v>
      </c>
      <c r="M162">
        <f t="shared" si="41"/>
        <v>0.38099999999758438</v>
      </c>
      <c r="N162">
        <f t="shared" si="42"/>
        <v>95.749109999392928</v>
      </c>
    </row>
    <row r="163" spans="1:14" x14ac:dyDescent="0.35">
      <c r="A163">
        <v>32370.063999999998</v>
      </c>
      <c r="B163">
        <v>32370.518</v>
      </c>
      <c r="C163">
        <v>32371.01</v>
      </c>
      <c r="D163">
        <v>32371.482</v>
      </c>
      <c r="E163">
        <v>32371.888999999999</v>
      </c>
      <c r="G163">
        <f t="shared" si="35"/>
        <v>0.4540000000015425</v>
      </c>
      <c r="H163">
        <f t="shared" si="36"/>
        <v>114.09474000038765</v>
      </c>
      <c r="I163">
        <f t="shared" si="37"/>
        <v>0.49199999999837019</v>
      </c>
      <c r="J163">
        <f t="shared" si="38"/>
        <v>123.64451999959041</v>
      </c>
      <c r="K163">
        <f t="shared" si="39"/>
        <v>0.47200000000157161</v>
      </c>
      <c r="L163">
        <f t="shared" si="40"/>
        <v>118.61832000039496</v>
      </c>
      <c r="M163">
        <f t="shared" si="41"/>
        <v>0.4069999999992433</v>
      </c>
      <c r="N163">
        <f t="shared" si="42"/>
        <v>102.28316999980983</v>
      </c>
    </row>
    <row r="164" spans="1:14" x14ac:dyDescent="0.35">
      <c r="A164">
        <v>32371.65</v>
      </c>
      <c r="B164">
        <v>32372.100999999999</v>
      </c>
      <c r="C164">
        <v>32372.601999999999</v>
      </c>
      <c r="D164">
        <v>32373.082999999999</v>
      </c>
      <c r="E164">
        <v>32373.469000000001</v>
      </c>
      <c r="G164">
        <f t="shared" si="35"/>
        <v>0.45099999999729334</v>
      </c>
      <c r="H164">
        <f t="shared" si="36"/>
        <v>113.34080999931979</v>
      </c>
      <c r="I164">
        <f t="shared" si="37"/>
        <v>0.50100000000020373</v>
      </c>
      <c r="J164">
        <f t="shared" si="38"/>
        <v>125.90631000005121</v>
      </c>
      <c r="K164">
        <f t="shared" si="39"/>
        <v>0.48099999999976717</v>
      </c>
      <c r="L164">
        <f t="shared" si="40"/>
        <v>120.88010999994148</v>
      </c>
      <c r="M164">
        <f t="shared" si="41"/>
        <v>0.38600000000224099</v>
      </c>
      <c r="N164">
        <f t="shared" si="42"/>
        <v>97.005660000563182</v>
      </c>
    </row>
    <row r="165" spans="1:14" x14ac:dyDescent="0.35">
      <c r="A165">
        <v>32372.986000000001</v>
      </c>
      <c r="B165">
        <v>32373.444</v>
      </c>
      <c r="C165">
        <v>32373.934000000001</v>
      </c>
      <c r="D165">
        <v>32374.425999999999</v>
      </c>
      <c r="E165">
        <v>32374.803</v>
      </c>
      <c r="G165">
        <f t="shared" si="35"/>
        <v>0.45799999999871943</v>
      </c>
      <c r="H165">
        <f t="shared" si="36"/>
        <v>115.09997999967818</v>
      </c>
      <c r="I165">
        <f t="shared" si="37"/>
        <v>0.49000000000160071</v>
      </c>
      <c r="J165">
        <f t="shared" si="38"/>
        <v>123.14190000040227</v>
      </c>
      <c r="K165">
        <f t="shared" si="39"/>
        <v>0.49199999999837019</v>
      </c>
      <c r="L165">
        <f t="shared" si="40"/>
        <v>123.64451999959041</v>
      </c>
      <c r="M165">
        <f t="shared" si="41"/>
        <v>0.37700000000040745</v>
      </c>
      <c r="N165">
        <f t="shared" si="42"/>
        <v>94.743870000102405</v>
      </c>
    </row>
    <row r="166" spans="1:14" x14ac:dyDescent="0.35">
      <c r="A166">
        <v>32374.224999999999</v>
      </c>
      <c r="B166">
        <v>32374.675999999999</v>
      </c>
      <c r="C166">
        <v>32375.177</v>
      </c>
      <c r="D166">
        <v>32375.656999999999</v>
      </c>
      <c r="E166">
        <v>32376.045999999998</v>
      </c>
      <c r="G166">
        <f t="shared" si="35"/>
        <v>0.45100000000093132</v>
      </c>
      <c r="H166">
        <f t="shared" si="36"/>
        <v>113.34081000023406</v>
      </c>
      <c r="I166">
        <f t="shared" si="37"/>
        <v>0.50100000000020373</v>
      </c>
      <c r="J166">
        <f t="shared" si="38"/>
        <v>125.90631000005121</v>
      </c>
      <c r="K166">
        <f t="shared" si="39"/>
        <v>0.47999999999956344</v>
      </c>
      <c r="L166">
        <f t="shared" si="40"/>
        <v>120.62879999989029</v>
      </c>
      <c r="M166">
        <f t="shared" si="41"/>
        <v>0.3889999999992142</v>
      </c>
      <c r="N166">
        <f t="shared" si="42"/>
        <v>97.759589999802515</v>
      </c>
    </row>
    <row r="167" spans="1:14" x14ac:dyDescent="0.35">
      <c r="A167">
        <v>32375.455000000002</v>
      </c>
      <c r="B167">
        <v>32375.897000000001</v>
      </c>
      <c r="C167">
        <v>32376.398000000001</v>
      </c>
      <c r="D167">
        <v>32376.877</v>
      </c>
      <c r="E167">
        <v>32377.264999999999</v>
      </c>
      <c r="G167">
        <f t="shared" si="35"/>
        <v>0.44199999999909778</v>
      </c>
      <c r="H167">
        <f t="shared" si="36"/>
        <v>111.07901999977327</v>
      </c>
      <c r="I167">
        <f t="shared" si="37"/>
        <v>0.50100000000020373</v>
      </c>
      <c r="J167">
        <f t="shared" si="38"/>
        <v>125.90631000005121</v>
      </c>
      <c r="K167">
        <f t="shared" si="39"/>
        <v>0.47899999999935972</v>
      </c>
      <c r="L167">
        <f t="shared" si="40"/>
        <v>120.37748999983909</v>
      </c>
      <c r="M167">
        <f t="shared" si="41"/>
        <v>0.38799999999901047</v>
      </c>
      <c r="N167">
        <f t="shared" si="42"/>
        <v>97.508279999751323</v>
      </c>
    </row>
    <row r="168" spans="1:14" x14ac:dyDescent="0.35">
      <c r="A168">
        <v>33692.559999999998</v>
      </c>
      <c r="B168">
        <v>33692.993000000002</v>
      </c>
      <c r="C168">
        <v>33693.502999999997</v>
      </c>
      <c r="D168">
        <v>33693.982000000004</v>
      </c>
      <c r="E168">
        <v>33694.366999999998</v>
      </c>
      <c r="G168">
        <f t="shared" si="35"/>
        <v>0.4330000000045402</v>
      </c>
      <c r="H168">
        <f t="shared" si="36"/>
        <v>108.817230001141</v>
      </c>
      <c r="I168">
        <f t="shared" si="37"/>
        <v>0.50999999999476131</v>
      </c>
      <c r="J168">
        <f t="shared" si="38"/>
        <v>128.16809999868346</v>
      </c>
      <c r="K168">
        <f t="shared" si="39"/>
        <v>0.47900000000663567</v>
      </c>
      <c r="L168">
        <f t="shared" si="40"/>
        <v>120.37749000166761</v>
      </c>
      <c r="M168">
        <f t="shared" si="41"/>
        <v>0.38499999999476131</v>
      </c>
      <c r="N168">
        <f t="shared" si="42"/>
        <v>96.754349998683466</v>
      </c>
    </row>
    <row r="169" spans="1:14" x14ac:dyDescent="0.35">
      <c r="A169">
        <v>33814.411999999997</v>
      </c>
      <c r="B169">
        <v>33814.858999999997</v>
      </c>
      <c r="C169">
        <v>33815.358999999997</v>
      </c>
      <c r="D169">
        <v>33815.828999999998</v>
      </c>
      <c r="E169">
        <v>33816.224000000002</v>
      </c>
      <c r="G169">
        <f t="shared" si="35"/>
        <v>0.44700000000011642</v>
      </c>
      <c r="H169">
        <f t="shared" si="36"/>
        <v>112.33557000002926</v>
      </c>
      <c r="I169">
        <f t="shared" si="37"/>
        <v>0.5</v>
      </c>
      <c r="J169">
        <f t="shared" si="38"/>
        <v>125.655</v>
      </c>
      <c r="K169">
        <f t="shared" si="39"/>
        <v>0.47000000000116415</v>
      </c>
      <c r="L169">
        <f t="shared" si="40"/>
        <v>118.11570000029256</v>
      </c>
      <c r="M169">
        <f t="shared" si="41"/>
        <v>0.39500000000407454</v>
      </c>
      <c r="N169">
        <f t="shared" si="42"/>
        <v>99.267450001023974</v>
      </c>
    </row>
    <row r="170" spans="1:14" x14ac:dyDescent="0.35">
      <c r="A170">
        <v>33936.328999999998</v>
      </c>
      <c r="B170">
        <v>33936.775000000001</v>
      </c>
      <c r="C170">
        <v>33937.275000000001</v>
      </c>
      <c r="D170">
        <v>33937.745000000003</v>
      </c>
      <c r="E170">
        <v>33938.137999999999</v>
      </c>
      <c r="G170">
        <f t="shared" si="35"/>
        <v>0.44600000000355067</v>
      </c>
      <c r="H170">
        <f t="shared" si="36"/>
        <v>112.08426000089231</v>
      </c>
      <c r="I170">
        <f t="shared" si="37"/>
        <v>0.5</v>
      </c>
      <c r="J170">
        <f t="shared" si="38"/>
        <v>125.655</v>
      </c>
      <c r="K170">
        <f t="shared" si="39"/>
        <v>0.47000000000116415</v>
      </c>
      <c r="L170">
        <f t="shared" si="40"/>
        <v>118.11570000029256</v>
      </c>
      <c r="M170">
        <f t="shared" si="41"/>
        <v>0.39299999999639113</v>
      </c>
      <c r="N170">
        <f t="shared" si="42"/>
        <v>98.764829999093052</v>
      </c>
    </row>
    <row r="171" spans="1:14" x14ac:dyDescent="0.35">
      <c r="A171">
        <v>34058.358999999997</v>
      </c>
      <c r="B171">
        <v>34058.800000000003</v>
      </c>
      <c r="C171">
        <v>34059.302000000003</v>
      </c>
      <c r="D171">
        <v>34059.78</v>
      </c>
      <c r="E171">
        <v>34060.169000000002</v>
      </c>
      <c r="G171">
        <f t="shared" si="35"/>
        <v>0.44100000000617001</v>
      </c>
      <c r="H171">
        <f t="shared" si="36"/>
        <v>110.82771000155059</v>
      </c>
      <c r="I171">
        <f t="shared" si="37"/>
        <v>0.50200000000040745</v>
      </c>
      <c r="J171">
        <f t="shared" si="38"/>
        <v>126.1576200001024</v>
      </c>
      <c r="K171">
        <f t="shared" si="39"/>
        <v>0.47799999999551801</v>
      </c>
      <c r="L171">
        <f t="shared" si="40"/>
        <v>120.12617999887364</v>
      </c>
      <c r="M171">
        <f t="shared" si="41"/>
        <v>0.38900000000285218</v>
      </c>
      <c r="N171">
        <f t="shared" si="42"/>
        <v>97.759590000716784</v>
      </c>
    </row>
    <row r="172" spans="1:14" x14ac:dyDescent="0.35">
      <c r="A172">
        <v>34180.400999999998</v>
      </c>
      <c r="B172">
        <v>34180.847000000002</v>
      </c>
      <c r="C172">
        <v>34181.347000000002</v>
      </c>
      <c r="D172">
        <v>34181.826999999997</v>
      </c>
      <c r="E172">
        <v>34182.214</v>
      </c>
      <c r="G172">
        <f t="shared" si="35"/>
        <v>0.44600000000355067</v>
      </c>
      <c r="H172">
        <f t="shared" si="36"/>
        <v>112.08426000089231</v>
      </c>
      <c r="I172">
        <f t="shared" si="37"/>
        <v>0.5</v>
      </c>
      <c r="J172">
        <f t="shared" si="38"/>
        <v>125.655</v>
      </c>
      <c r="K172">
        <f t="shared" si="39"/>
        <v>0.47999999999592546</v>
      </c>
      <c r="L172">
        <f t="shared" si="40"/>
        <v>120.62879999897604</v>
      </c>
      <c r="M172">
        <f t="shared" si="41"/>
        <v>0.38700000000244472</v>
      </c>
      <c r="N172">
        <f t="shared" si="42"/>
        <v>97.256970000614388</v>
      </c>
    </row>
    <row r="173" spans="1:14" x14ac:dyDescent="0.35">
      <c r="A173">
        <v>34302.370000000003</v>
      </c>
      <c r="B173">
        <v>34302.813000000002</v>
      </c>
      <c r="C173">
        <v>34303.311999999998</v>
      </c>
      <c r="D173">
        <v>34303.792000000001</v>
      </c>
      <c r="E173">
        <v>34304.177000000003</v>
      </c>
      <c r="G173">
        <f t="shared" si="35"/>
        <v>0.44299999999930151</v>
      </c>
      <c r="H173">
        <f t="shared" si="36"/>
        <v>111.33032999982446</v>
      </c>
      <c r="I173">
        <f t="shared" si="37"/>
        <v>0.49899999999615829</v>
      </c>
      <c r="J173">
        <f t="shared" si="38"/>
        <v>125.40368999903454</v>
      </c>
      <c r="K173">
        <f t="shared" si="39"/>
        <v>0.48000000000320142</v>
      </c>
      <c r="L173">
        <f t="shared" si="40"/>
        <v>120.62880000080455</v>
      </c>
      <c r="M173">
        <f t="shared" si="41"/>
        <v>0.38500000000203727</v>
      </c>
      <c r="N173">
        <f t="shared" si="42"/>
        <v>96.754350000511991</v>
      </c>
    </row>
    <row r="174" spans="1:14" x14ac:dyDescent="0.35">
      <c r="A174">
        <v>34424.330999999998</v>
      </c>
      <c r="B174">
        <v>34424.779000000002</v>
      </c>
      <c r="C174">
        <v>34425.277999999998</v>
      </c>
      <c r="D174">
        <v>34425.758000000002</v>
      </c>
      <c r="E174">
        <v>34426.146999999997</v>
      </c>
      <c r="G174">
        <f t="shared" si="35"/>
        <v>0.44800000000395812</v>
      </c>
      <c r="H174">
        <f t="shared" si="36"/>
        <v>112.58688000099471</v>
      </c>
      <c r="I174">
        <f t="shared" si="37"/>
        <v>0.49899999999615829</v>
      </c>
      <c r="J174">
        <f t="shared" si="38"/>
        <v>125.40368999903454</v>
      </c>
      <c r="K174">
        <f t="shared" si="39"/>
        <v>0.48000000000320142</v>
      </c>
      <c r="L174">
        <f t="shared" si="40"/>
        <v>120.62880000080455</v>
      </c>
      <c r="M174">
        <f t="shared" si="41"/>
        <v>0.38899999999557622</v>
      </c>
      <c r="N174">
        <f t="shared" si="42"/>
        <v>97.759589998888259</v>
      </c>
    </row>
    <row r="175" spans="1:14" x14ac:dyDescent="0.35">
      <c r="A175">
        <v>34546.425999999999</v>
      </c>
      <c r="B175">
        <v>34546.874000000003</v>
      </c>
      <c r="C175">
        <v>34547.374000000003</v>
      </c>
      <c r="D175">
        <v>34547.853999999999</v>
      </c>
      <c r="E175">
        <v>34548.245000000003</v>
      </c>
      <c r="G175">
        <f t="shared" si="35"/>
        <v>0.44800000000395812</v>
      </c>
      <c r="H175">
        <f t="shared" si="36"/>
        <v>112.58688000099471</v>
      </c>
      <c r="I175">
        <f t="shared" si="37"/>
        <v>0.5</v>
      </c>
      <c r="J175">
        <f t="shared" si="38"/>
        <v>125.655</v>
      </c>
      <c r="K175">
        <f t="shared" si="39"/>
        <v>0.47999999999592546</v>
      </c>
      <c r="L175">
        <f t="shared" si="40"/>
        <v>120.62879999897604</v>
      </c>
      <c r="M175">
        <f t="shared" si="41"/>
        <v>0.39100000000325963</v>
      </c>
      <c r="N175">
        <f t="shared" si="42"/>
        <v>98.262210000819181</v>
      </c>
    </row>
    <row r="176" spans="1:14" x14ac:dyDescent="0.35">
      <c r="A176">
        <v>34668.423999999999</v>
      </c>
      <c r="B176">
        <v>34668.872000000003</v>
      </c>
      <c r="C176">
        <v>34669.370999999999</v>
      </c>
      <c r="D176">
        <v>34669.851000000002</v>
      </c>
      <c r="E176">
        <v>34670.241999999998</v>
      </c>
      <c r="G176">
        <f t="shared" si="35"/>
        <v>0.44800000000395812</v>
      </c>
      <c r="H176">
        <f t="shared" si="36"/>
        <v>112.58688000099471</v>
      </c>
      <c r="I176">
        <f t="shared" si="37"/>
        <v>0.49899999999615829</v>
      </c>
      <c r="J176">
        <f t="shared" si="38"/>
        <v>125.40368999903454</v>
      </c>
      <c r="K176">
        <f t="shared" si="39"/>
        <v>0.48000000000320142</v>
      </c>
      <c r="L176">
        <f t="shared" si="40"/>
        <v>120.62880000080455</v>
      </c>
      <c r="M176">
        <f t="shared" si="41"/>
        <v>0.39099999999598367</v>
      </c>
      <c r="N176">
        <f t="shared" si="42"/>
        <v>98.262209998990656</v>
      </c>
    </row>
    <row r="177" spans="1:14" x14ac:dyDescent="0.35">
      <c r="A177">
        <v>34790.714999999997</v>
      </c>
      <c r="B177">
        <v>34791.161999999997</v>
      </c>
      <c r="C177">
        <v>34791.671999999999</v>
      </c>
      <c r="D177">
        <v>34792.142</v>
      </c>
      <c r="E177">
        <v>34792.53</v>
      </c>
      <c r="G177">
        <f t="shared" si="35"/>
        <v>0.44700000000011642</v>
      </c>
      <c r="H177">
        <f t="shared" si="36"/>
        <v>112.33557000002926</v>
      </c>
      <c r="I177">
        <f t="shared" si="37"/>
        <v>0.51000000000203727</v>
      </c>
      <c r="J177">
        <f t="shared" si="38"/>
        <v>128.168100000512</v>
      </c>
      <c r="K177">
        <f t="shared" si="39"/>
        <v>0.47000000000116415</v>
      </c>
      <c r="L177">
        <f t="shared" si="40"/>
        <v>118.11570000029256</v>
      </c>
      <c r="M177">
        <f t="shared" si="41"/>
        <v>0.38799999999901047</v>
      </c>
      <c r="N177">
        <f t="shared" si="42"/>
        <v>97.508279999751323</v>
      </c>
    </row>
    <row r="178" spans="1:14" x14ac:dyDescent="0.35">
      <c r="A178">
        <v>37403.839999999997</v>
      </c>
      <c r="B178">
        <v>37404.283000000003</v>
      </c>
      <c r="C178">
        <v>37404.794999999998</v>
      </c>
      <c r="D178">
        <v>37405.267</v>
      </c>
      <c r="E178">
        <v>37405.654000000002</v>
      </c>
      <c r="G178">
        <f t="shared" si="35"/>
        <v>0.44300000000657747</v>
      </c>
      <c r="H178">
        <f t="shared" si="36"/>
        <v>111.33033000165298</v>
      </c>
      <c r="I178">
        <f t="shared" si="37"/>
        <v>0.51199999999516876</v>
      </c>
      <c r="J178">
        <f t="shared" si="38"/>
        <v>128.67071999878587</v>
      </c>
      <c r="K178">
        <f t="shared" si="39"/>
        <v>0.47200000000157161</v>
      </c>
      <c r="L178">
        <f t="shared" si="40"/>
        <v>118.61832000039496</v>
      </c>
      <c r="M178">
        <f t="shared" si="41"/>
        <v>0.38700000000244472</v>
      </c>
      <c r="N178">
        <f t="shared" si="42"/>
        <v>97.256970000614388</v>
      </c>
    </row>
    <row r="179" spans="1:14" x14ac:dyDescent="0.35">
      <c r="A179">
        <v>37404.928</v>
      </c>
      <c r="B179">
        <v>37405.375</v>
      </c>
      <c r="C179">
        <v>37405.875</v>
      </c>
      <c r="D179">
        <v>37406.355000000003</v>
      </c>
      <c r="E179">
        <v>37406.743000000002</v>
      </c>
      <c r="G179">
        <f t="shared" si="35"/>
        <v>0.44700000000011642</v>
      </c>
      <c r="H179">
        <f t="shared" si="36"/>
        <v>112.33557000002926</v>
      </c>
      <c r="I179">
        <f t="shared" si="37"/>
        <v>0.5</v>
      </c>
      <c r="J179">
        <f t="shared" si="38"/>
        <v>125.655</v>
      </c>
      <c r="K179">
        <f t="shared" si="39"/>
        <v>0.48000000000320142</v>
      </c>
      <c r="L179">
        <f t="shared" si="40"/>
        <v>120.62880000080455</v>
      </c>
      <c r="M179">
        <f t="shared" si="41"/>
        <v>0.38799999999901047</v>
      </c>
      <c r="N179">
        <f t="shared" si="42"/>
        <v>97.508279999751323</v>
      </c>
    </row>
    <row r="180" spans="1:14" x14ac:dyDescent="0.35">
      <c r="A180">
        <v>37506.417999999998</v>
      </c>
      <c r="B180">
        <v>37506.868000000002</v>
      </c>
      <c r="C180">
        <v>37507.368000000002</v>
      </c>
      <c r="D180">
        <v>37507.839</v>
      </c>
      <c r="E180">
        <v>37508.232000000004</v>
      </c>
      <c r="G180">
        <f t="shared" si="35"/>
        <v>0.45000000000436557</v>
      </c>
      <c r="H180">
        <f t="shared" si="36"/>
        <v>113.08950000109711</v>
      </c>
      <c r="I180">
        <f t="shared" si="37"/>
        <v>0.5</v>
      </c>
      <c r="J180">
        <f t="shared" si="38"/>
        <v>125.655</v>
      </c>
      <c r="K180">
        <f t="shared" si="39"/>
        <v>0.4709999999977299</v>
      </c>
      <c r="L180">
        <f t="shared" si="40"/>
        <v>118.3670099994295</v>
      </c>
      <c r="M180">
        <f t="shared" si="41"/>
        <v>0.39300000000366708</v>
      </c>
      <c r="N180">
        <f t="shared" si="42"/>
        <v>98.764830000921577</v>
      </c>
    </row>
    <row r="181" spans="1:14" x14ac:dyDescent="0.35">
      <c r="A181">
        <v>37507.964999999997</v>
      </c>
      <c r="B181">
        <v>37508.410000000003</v>
      </c>
      <c r="C181">
        <v>37508.909</v>
      </c>
      <c r="D181">
        <v>37509.389000000003</v>
      </c>
      <c r="E181">
        <v>37509.78</v>
      </c>
      <c r="G181">
        <f t="shared" si="35"/>
        <v>0.44500000000698492</v>
      </c>
      <c r="H181">
        <f t="shared" si="36"/>
        <v>111.83295000175538</v>
      </c>
      <c r="I181">
        <f t="shared" si="37"/>
        <v>0.49899999999615829</v>
      </c>
      <c r="J181">
        <f t="shared" si="38"/>
        <v>125.40368999903454</v>
      </c>
      <c r="K181">
        <f t="shared" si="39"/>
        <v>0.48000000000320142</v>
      </c>
      <c r="L181">
        <f t="shared" si="40"/>
        <v>120.62880000080455</v>
      </c>
      <c r="M181">
        <f t="shared" si="41"/>
        <v>0.39099999999598367</v>
      </c>
      <c r="N181">
        <f t="shared" si="42"/>
        <v>98.262209998990656</v>
      </c>
    </row>
    <row r="182" spans="1:14" x14ac:dyDescent="0.35">
      <c r="A182">
        <v>37630.383000000002</v>
      </c>
      <c r="B182">
        <v>37630.832000000002</v>
      </c>
      <c r="C182">
        <v>37631.330999999998</v>
      </c>
      <c r="D182">
        <v>37631.813999999998</v>
      </c>
      <c r="E182">
        <v>37632.199000000001</v>
      </c>
      <c r="G182">
        <f t="shared" si="35"/>
        <v>0.44900000000052387</v>
      </c>
      <c r="H182">
        <f t="shared" si="36"/>
        <v>112.83819000013166</v>
      </c>
      <c r="I182">
        <f t="shared" si="37"/>
        <v>0.49899999999615829</v>
      </c>
      <c r="J182">
        <f t="shared" si="38"/>
        <v>125.40368999903454</v>
      </c>
      <c r="K182">
        <f t="shared" si="39"/>
        <v>0.48300000000017462</v>
      </c>
      <c r="L182">
        <f t="shared" si="40"/>
        <v>121.38273000004389</v>
      </c>
      <c r="M182">
        <f t="shared" si="41"/>
        <v>0.38500000000203727</v>
      </c>
      <c r="N182">
        <f t="shared" si="42"/>
        <v>96.754350000511991</v>
      </c>
    </row>
    <row r="183" spans="1:14" x14ac:dyDescent="0.35">
      <c r="A183">
        <v>37631.839999999997</v>
      </c>
      <c r="B183">
        <v>37632.283000000003</v>
      </c>
      <c r="C183">
        <v>37632.784</v>
      </c>
      <c r="D183">
        <v>37633.262999999999</v>
      </c>
      <c r="E183">
        <v>37633.65</v>
      </c>
      <c r="G183">
        <f t="shared" si="35"/>
        <v>0.44300000000657747</v>
      </c>
      <c r="H183">
        <f t="shared" si="36"/>
        <v>111.33033000165298</v>
      </c>
      <c r="I183">
        <f t="shared" si="37"/>
        <v>0.50099999999656575</v>
      </c>
      <c r="J183">
        <f t="shared" si="38"/>
        <v>125.90630999913694</v>
      </c>
      <c r="K183">
        <f t="shared" si="39"/>
        <v>0.47899999999935972</v>
      </c>
      <c r="L183">
        <f t="shared" si="40"/>
        <v>120.37748999983909</v>
      </c>
      <c r="M183">
        <f t="shared" si="41"/>
        <v>0.38700000000244472</v>
      </c>
      <c r="N183">
        <f t="shared" si="42"/>
        <v>97.256970000614388</v>
      </c>
    </row>
    <row r="184" spans="1:14" x14ac:dyDescent="0.35">
      <c r="A184">
        <v>37754.457999999999</v>
      </c>
      <c r="B184">
        <v>37754.906000000003</v>
      </c>
      <c r="C184">
        <v>37755.406999999999</v>
      </c>
      <c r="D184">
        <v>37755.877</v>
      </c>
      <c r="E184">
        <v>37756.269999999997</v>
      </c>
      <c r="G184">
        <f t="shared" si="35"/>
        <v>0.44800000000395812</v>
      </c>
      <c r="H184">
        <f t="shared" si="36"/>
        <v>112.58688000099471</v>
      </c>
      <c r="I184">
        <f t="shared" si="37"/>
        <v>0.50099999999656575</v>
      </c>
      <c r="J184">
        <f t="shared" si="38"/>
        <v>125.90630999913694</v>
      </c>
      <c r="K184">
        <f t="shared" si="39"/>
        <v>0.47000000000116415</v>
      </c>
      <c r="L184">
        <f t="shared" si="40"/>
        <v>118.11570000029256</v>
      </c>
      <c r="M184">
        <f t="shared" si="41"/>
        <v>0.39299999999639113</v>
      </c>
      <c r="N184">
        <f t="shared" si="42"/>
        <v>98.764829999093052</v>
      </c>
    </row>
    <row r="185" spans="1:14" x14ac:dyDescent="0.35">
      <c r="A185">
        <v>37755.843000000001</v>
      </c>
      <c r="B185">
        <v>37756.288</v>
      </c>
      <c r="C185">
        <v>37756.775999999998</v>
      </c>
      <c r="D185">
        <v>37757.256999999998</v>
      </c>
      <c r="E185">
        <v>37757.642999999996</v>
      </c>
      <c r="G185">
        <f t="shared" si="35"/>
        <v>0.44499999999970896</v>
      </c>
      <c r="H185">
        <f t="shared" si="36"/>
        <v>111.83294999992685</v>
      </c>
      <c r="I185">
        <f t="shared" si="37"/>
        <v>0.48799999999755528</v>
      </c>
      <c r="J185">
        <f t="shared" si="38"/>
        <v>122.63927999938562</v>
      </c>
      <c r="K185">
        <f t="shared" si="39"/>
        <v>0.48099999999976717</v>
      </c>
      <c r="L185">
        <f t="shared" si="40"/>
        <v>120.88010999994148</v>
      </c>
      <c r="M185">
        <f t="shared" si="41"/>
        <v>0.38599999999860302</v>
      </c>
      <c r="N185">
        <f t="shared" si="42"/>
        <v>97.005659999648927</v>
      </c>
    </row>
    <row r="186" spans="1:14" x14ac:dyDescent="0.35">
      <c r="A186">
        <v>37878.483</v>
      </c>
      <c r="B186">
        <v>37878.921000000002</v>
      </c>
      <c r="C186">
        <v>37879.432000000001</v>
      </c>
      <c r="D186">
        <v>37879.900999999998</v>
      </c>
      <c r="E186">
        <v>37880.292000000001</v>
      </c>
      <c r="G186">
        <f t="shared" si="35"/>
        <v>0.43800000000192085</v>
      </c>
      <c r="H186">
        <f t="shared" si="36"/>
        <v>110.07378000048273</v>
      </c>
      <c r="I186">
        <f t="shared" si="37"/>
        <v>0.51099999999860302</v>
      </c>
      <c r="J186">
        <f t="shared" si="38"/>
        <v>128.41940999964893</v>
      </c>
      <c r="K186">
        <f t="shared" si="39"/>
        <v>0.46899999999732245</v>
      </c>
      <c r="L186">
        <f t="shared" si="40"/>
        <v>117.8643899993271</v>
      </c>
      <c r="M186">
        <f t="shared" si="41"/>
        <v>0.39100000000325963</v>
      </c>
      <c r="N186">
        <f t="shared" si="42"/>
        <v>98.262210000819181</v>
      </c>
    </row>
    <row r="187" spans="1:14" x14ac:dyDescent="0.35">
      <c r="A187">
        <v>37880.016000000003</v>
      </c>
      <c r="B187">
        <v>37880.463000000003</v>
      </c>
      <c r="C187">
        <v>37880.961000000003</v>
      </c>
      <c r="D187">
        <v>37881.430999999997</v>
      </c>
      <c r="E187">
        <v>37881.82</v>
      </c>
      <c r="G187">
        <f t="shared" si="35"/>
        <v>0.44700000000011642</v>
      </c>
      <c r="H187">
        <f t="shared" si="36"/>
        <v>112.33557000002926</v>
      </c>
      <c r="I187">
        <f t="shared" si="37"/>
        <v>0.49799999999959255</v>
      </c>
      <c r="J187">
        <f t="shared" si="38"/>
        <v>125.1523799998976</v>
      </c>
      <c r="K187">
        <f t="shared" si="39"/>
        <v>0.4699999999938882</v>
      </c>
      <c r="L187">
        <f t="shared" si="40"/>
        <v>118.11569999846404</v>
      </c>
      <c r="M187">
        <f t="shared" si="41"/>
        <v>0.38900000000285218</v>
      </c>
      <c r="N187">
        <f t="shared" si="42"/>
        <v>97.759590000716784</v>
      </c>
    </row>
    <row r="188" spans="1:14" x14ac:dyDescent="0.35">
      <c r="A188">
        <v>38002.35</v>
      </c>
      <c r="B188">
        <v>38002.803999999996</v>
      </c>
      <c r="C188">
        <v>38003.285000000003</v>
      </c>
      <c r="D188">
        <v>38003.766000000003</v>
      </c>
      <c r="E188">
        <v>38004.154000000002</v>
      </c>
      <c r="G188">
        <f t="shared" si="35"/>
        <v>0.45399999999790452</v>
      </c>
      <c r="H188">
        <f t="shared" si="36"/>
        <v>114.09473999947339</v>
      </c>
      <c r="I188">
        <f t="shared" si="37"/>
        <v>0.48100000000704313</v>
      </c>
      <c r="J188">
        <f t="shared" si="38"/>
        <v>120.88011000177001</v>
      </c>
      <c r="K188">
        <f t="shared" si="39"/>
        <v>0.48099999999976717</v>
      </c>
      <c r="L188">
        <f t="shared" si="40"/>
        <v>120.88010999994148</v>
      </c>
      <c r="M188">
        <f t="shared" si="41"/>
        <v>0.38799999999901047</v>
      </c>
      <c r="N188">
        <f t="shared" si="42"/>
        <v>97.508279999751323</v>
      </c>
    </row>
    <row r="189" spans="1:14" x14ac:dyDescent="0.35">
      <c r="A189">
        <v>38003.983999999997</v>
      </c>
      <c r="B189">
        <v>38004.427000000003</v>
      </c>
      <c r="C189">
        <v>38004.925999999999</v>
      </c>
      <c r="D189">
        <v>38005.406000000003</v>
      </c>
      <c r="E189">
        <v>38005.79</v>
      </c>
      <c r="G189">
        <f t="shared" si="35"/>
        <v>0.44300000000657747</v>
      </c>
      <c r="H189">
        <f t="shared" si="36"/>
        <v>111.33033000165298</v>
      </c>
      <c r="I189">
        <f t="shared" si="37"/>
        <v>0.49899999999615829</v>
      </c>
      <c r="J189">
        <f t="shared" si="38"/>
        <v>125.40368999903454</v>
      </c>
      <c r="K189">
        <f t="shared" si="39"/>
        <v>0.48000000000320142</v>
      </c>
      <c r="L189">
        <f t="shared" si="40"/>
        <v>120.62880000080455</v>
      </c>
      <c r="M189">
        <f t="shared" si="41"/>
        <v>0.38399999999819556</v>
      </c>
      <c r="N189">
        <f t="shared" si="42"/>
        <v>96.50303999954653</v>
      </c>
    </row>
    <row r="190" spans="1:14" x14ac:dyDescent="0.35">
      <c r="A190">
        <v>38126.667999999998</v>
      </c>
      <c r="B190">
        <v>38127.11</v>
      </c>
      <c r="C190">
        <v>38127.610999999997</v>
      </c>
      <c r="D190">
        <v>38128.082000000002</v>
      </c>
      <c r="E190">
        <v>38128.476999999999</v>
      </c>
      <c r="G190">
        <f t="shared" si="35"/>
        <v>0.44200000000273576</v>
      </c>
      <c r="H190">
        <f t="shared" si="36"/>
        <v>111.07902000068752</v>
      </c>
      <c r="I190">
        <f t="shared" si="37"/>
        <v>0.50099999999656575</v>
      </c>
      <c r="J190">
        <f t="shared" si="38"/>
        <v>125.90630999913694</v>
      </c>
      <c r="K190">
        <f t="shared" si="39"/>
        <v>0.47100000000500586</v>
      </c>
      <c r="L190">
        <f t="shared" si="40"/>
        <v>118.36701000125802</v>
      </c>
      <c r="M190">
        <f t="shared" si="41"/>
        <v>0.39499999999679858</v>
      </c>
      <c r="N190">
        <f t="shared" si="42"/>
        <v>99.267449999195449</v>
      </c>
    </row>
    <row r="191" spans="1:14" x14ac:dyDescent="0.35">
      <c r="A191">
        <v>38128.074000000001</v>
      </c>
      <c r="B191">
        <v>38128.521999999997</v>
      </c>
      <c r="C191">
        <v>38129.021999999997</v>
      </c>
      <c r="D191">
        <v>38129.502</v>
      </c>
      <c r="E191">
        <v>38129.89</v>
      </c>
      <c r="G191">
        <f t="shared" si="35"/>
        <v>0.44799999999668216</v>
      </c>
      <c r="H191">
        <f t="shared" si="36"/>
        <v>112.5868799991662</v>
      </c>
      <c r="I191">
        <f t="shared" si="37"/>
        <v>0.5</v>
      </c>
      <c r="J191">
        <f t="shared" si="38"/>
        <v>125.655</v>
      </c>
      <c r="K191">
        <f t="shared" si="39"/>
        <v>0.48000000000320142</v>
      </c>
      <c r="L191">
        <f t="shared" si="40"/>
        <v>120.62880000080455</v>
      </c>
      <c r="M191">
        <f t="shared" si="41"/>
        <v>0.38799999999901047</v>
      </c>
      <c r="N191">
        <f t="shared" si="42"/>
        <v>97.508279999751323</v>
      </c>
    </row>
    <row r="192" spans="1:14" x14ac:dyDescent="0.35">
      <c r="A192">
        <v>38250.495000000003</v>
      </c>
      <c r="B192">
        <v>38250.947</v>
      </c>
      <c r="C192">
        <v>38251.447</v>
      </c>
      <c r="D192">
        <v>38251.925999999999</v>
      </c>
      <c r="E192">
        <v>38252.311999999998</v>
      </c>
      <c r="G192">
        <f t="shared" si="35"/>
        <v>0.45199999999749707</v>
      </c>
      <c r="H192">
        <f t="shared" si="36"/>
        <v>113.59211999937099</v>
      </c>
      <c r="I192">
        <f t="shared" si="37"/>
        <v>0.5</v>
      </c>
      <c r="J192">
        <f t="shared" si="38"/>
        <v>125.655</v>
      </c>
      <c r="K192">
        <f t="shared" si="39"/>
        <v>0.47899999999935972</v>
      </c>
      <c r="L192">
        <f t="shared" si="40"/>
        <v>120.37748999983909</v>
      </c>
      <c r="M192">
        <f t="shared" si="41"/>
        <v>0.38599999999860302</v>
      </c>
      <c r="N192">
        <f t="shared" si="42"/>
        <v>97.005659999648927</v>
      </c>
    </row>
    <row r="193" spans="1:14" x14ac:dyDescent="0.35">
      <c r="A193">
        <v>38252.053999999996</v>
      </c>
      <c r="B193">
        <v>38252.498</v>
      </c>
      <c r="C193">
        <v>38252.997000000003</v>
      </c>
      <c r="D193">
        <v>38253.466</v>
      </c>
      <c r="E193">
        <v>38253.858</v>
      </c>
      <c r="G193">
        <f t="shared" si="35"/>
        <v>0.44400000000314321</v>
      </c>
      <c r="H193">
        <f t="shared" si="36"/>
        <v>111.58164000078992</v>
      </c>
      <c r="I193">
        <f t="shared" si="37"/>
        <v>0.49900000000343425</v>
      </c>
      <c r="J193">
        <f t="shared" si="38"/>
        <v>125.40369000086307</v>
      </c>
      <c r="K193">
        <f t="shared" si="39"/>
        <v>0.46899999999732245</v>
      </c>
      <c r="L193">
        <f t="shared" si="40"/>
        <v>117.8643899993271</v>
      </c>
      <c r="M193">
        <f t="shared" si="41"/>
        <v>0.39199999999982538</v>
      </c>
      <c r="N193">
        <f t="shared" si="42"/>
        <v>98.513519999956117</v>
      </c>
    </row>
    <row r="194" spans="1:14" x14ac:dyDescent="0.35">
      <c r="A194">
        <v>38374.569000000003</v>
      </c>
      <c r="B194">
        <v>38375.019</v>
      </c>
      <c r="C194">
        <v>38375.519999999997</v>
      </c>
      <c r="D194">
        <v>38375.993000000002</v>
      </c>
      <c r="E194">
        <v>38376.383999999998</v>
      </c>
      <c r="G194">
        <f t="shared" si="35"/>
        <v>0.44999999999708962</v>
      </c>
      <c r="H194">
        <f t="shared" si="36"/>
        <v>113.0894999992686</v>
      </c>
      <c r="I194">
        <f t="shared" si="37"/>
        <v>0.50099999999656575</v>
      </c>
      <c r="J194">
        <f t="shared" si="38"/>
        <v>125.90630999913694</v>
      </c>
      <c r="K194">
        <f t="shared" si="39"/>
        <v>0.47300000000541331</v>
      </c>
      <c r="L194">
        <f t="shared" si="40"/>
        <v>118.86963000136042</v>
      </c>
      <c r="M194">
        <f t="shared" si="41"/>
        <v>0.39099999999598367</v>
      </c>
      <c r="N194">
        <f t="shared" si="42"/>
        <v>98.262209998990656</v>
      </c>
    </row>
    <row r="195" spans="1:14" x14ac:dyDescent="0.35">
      <c r="A195">
        <v>38376.03</v>
      </c>
      <c r="B195">
        <v>38376.482000000004</v>
      </c>
      <c r="C195">
        <v>38376.982000000004</v>
      </c>
      <c r="D195">
        <v>38377.451000000001</v>
      </c>
      <c r="E195">
        <v>38377.839999999997</v>
      </c>
      <c r="G195">
        <f t="shared" si="35"/>
        <v>0.45200000000477303</v>
      </c>
      <c r="H195">
        <f t="shared" si="36"/>
        <v>113.5921200011995</v>
      </c>
      <c r="I195">
        <f t="shared" si="37"/>
        <v>0.5</v>
      </c>
      <c r="J195">
        <f t="shared" si="38"/>
        <v>125.655</v>
      </c>
      <c r="K195">
        <f t="shared" si="39"/>
        <v>0.46899999999732245</v>
      </c>
      <c r="L195">
        <f t="shared" si="40"/>
        <v>117.8643899993271</v>
      </c>
      <c r="M195">
        <f t="shared" si="41"/>
        <v>0.38899999999557622</v>
      </c>
      <c r="N195">
        <f t="shared" si="42"/>
        <v>97.759589998888259</v>
      </c>
    </row>
    <row r="196" spans="1:14" x14ac:dyDescent="0.35">
      <c r="A196">
        <v>38498.6</v>
      </c>
      <c r="B196">
        <v>38499.042999999998</v>
      </c>
      <c r="C196">
        <v>38499.544000000002</v>
      </c>
      <c r="D196">
        <v>38500.016000000003</v>
      </c>
      <c r="E196">
        <v>38500.410000000003</v>
      </c>
      <c r="G196">
        <f t="shared" ref="G196:G259" si="50">B196-A196</f>
        <v>0.44299999999930151</v>
      </c>
      <c r="H196">
        <f t="shared" ref="H196:H259" si="51">G196*251.31</f>
        <v>111.33032999982446</v>
      </c>
      <c r="I196">
        <f t="shared" ref="I196:I259" si="52">C196-B196</f>
        <v>0.50100000000384171</v>
      </c>
      <c r="J196">
        <f t="shared" ref="J196:J259" si="53">I196*251.31</f>
        <v>125.90631000096546</v>
      </c>
      <c r="K196">
        <f t="shared" ref="K196:K259" si="54">D196-C196</f>
        <v>0.47200000000157161</v>
      </c>
      <c r="L196">
        <f t="shared" ref="L196:L259" si="55">K196*251.31</f>
        <v>118.61832000039496</v>
      </c>
      <c r="M196">
        <f t="shared" ref="M196:M259" si="56">E196-D196</f>
        <v>0.39400000000023283</v>
      </c>
      <c r="N196">
        <f t="shared" ref="N196:N259" si="57">M196*251.31</f>
        <v>99.016140000058513</v>
      </c>
    </row>
    <row r="197" spans="1:14" x14ac:dyDescent="0.35">
      <c r="A197">
        <v>38500.201000000001</v>
      </c>
      <c r="B197">
        <v>38500.644999999997</v>
      </c>
      <c r="C197">
        <v>38501.144999999997</v>
      </c>
      <c r="D197">
        <v>38501.625</v>
      </c>
      <c r="E197">
        <v>38502.010999999999</v>
      </c>
      <c r="G197">
        <f t="shared" si="50"/>
        <v>0.44399999999586726</v>
      </c>
      <c r="H197">
        <f t="shared" si="51"/>
        <v>111.58163999896141</v>
      </c>
      <c r="I197">
        <f t="shared" si="52"/>
        <v>0.5</v>
      </c>
      <c r="J197">
        <f t="shared" si="53"/>
        <v>125.655</v>
      </c>
      <c r="K197">
        <f t="shared" si="54"/>
        <v>0.48000000000320142</v>
      </c>
      <c r="L197">
        <f t="shared" si="55"/>
        <v>120.62880000080455</v>
      </c>
      <c r="M197">
        <f t="shared" si="56"/>
        <v>0.38599999999860302</v>
      </c>
      <c r="N197">
        <f t="shared" si="57"/>
        <v>97.005659999648927</v>
      </c>
    </row>
    <row r="198" spans="1:14" x14ac:dyDescent="0.35">
      <c r="A198">
        <v>38631.446000000004</v>
      </c>
      <c r="B198">
        <v>38631.889000000003</v>
      </c>
      <c r="C198">
        <v>38632.39</v>
      </c>
      <c r="D198">
        <v>38632.858999999997</v>
      </c>
      <c r="E198">
        <v>38633.252</v>
      </c>
      <c r="G198">
        <f t="shared" si="50"/>
        <v>0.44299999999930151</v>
      </c>
      <c r="H198">
        <f t="shared" si="51"/>
        <v>111.33032999982446</v>
      </c>
      <c r="I198">
        <f t="shared" si="52"/>
        <v>0.50099999999656575</v>
      </c>
      <c r="J198">
        <f t="shared" si="53"/>
        <v>125.90630999913694</v>
      </c>
      <c r="K198">
        <f t="shared" si="54"/>
        <v>0.46899999999732245</v>
      </c>
      <c r="L198">
        <f t="shared" si="55"/>
        <v>117.8643899993271</v>
      </c>
      <c r="M198">
        <f t="shared" si="56"/>
        <v>0.39300000000366708</v>
      </c>
      <c r="N198">
        <f t="shared" si="57"/>
        <v>98.764830000921577</v>
      </c>
    </row>
    <row r="199" spans="1:14" x14ac:dyDescent="0.35">
      <c r="A199">
        <v>38747.186000000002</v>
      </c>
      <c r="B199">
        <v>38747.631999999998</v>
      </c>
      <c r="C199">
        <v>38748.131999999998</v>
      </c>
      <c r="D199">
        <v>38748.612000000001</v>
      </c>
      <c r="E199">
        <v>38749.002</v>
      </c>
      <c r="G199">
        <f t="shared" si="50"/>
        <v>0.44599999999627471</v>
      </c>
      <c r="H199">
        <f t="shared" si="51"/>
        <v>112.0842599990638</v>
      </c>
      <c r="I199">
        <f t="shared" si="52"/>
        <v>0.5</v>
      </c>
      <c r="J199">
        <f t="shared" si="53"/>
        <v>125.655</v>
      </c>
      <c r="K199">
        <f t="shared" si="54"/>
        <v>0.48000000000320142</v>
      </c>
      <c r="L199">
        <f t="shared" si="55"/>
        <v>120.62880000080455</v>
      </c>
      <c r="M199">
        <f t="shared" si="56"/>
        <v>0.38999999999941792</v>
      </c>
      <c r="N199">
        <f t="shared" si="57"/>
        <v>98.01089999985372</v>
      </c>
    </row>
    <row r="200" spans="1:14" x14ac:dyDescent="0.35">
      <c r="A200">
        <v>38867.071000000004</v>
      </c>
      <c r="B200">
        <v>38867.517999999996</v>
      </c>
      <c r="C200">
        <v>38868.017999999996</v>
      </c>
      <c r="D200">
        <v>38868.498</v>
      </c>
      <c r="E200">
        <v>38868.889000000003</v>
      </c>
      <c r="G200">
        <f t="shared" si="50"/>
        <v>0.44699999999284046</v>
      </c>
      <c r="H200">
        <f t="shared" si="51"/>
        <v>112.33556999820074</v>
      </c>
      <c r="I200">
        <f t="shared" si="52"/>
        <v>0.5</v>
      </c>
      <c r="J200">
        <f t="shared" si="53"/>
        <v>125.655</v>
      </c>
      <c r="K200">
        <f t="shared" si="54"/>
        <v>0.48000000000320142</v>
      </c>
      <c r="L200">
        <f t="shared" si="55"/>
        <v>120.62880000080455</v>
      </c>
      <c r="M200">
        <f t="shared" si="56"/>
        <v>0.39100000000325963</v>
      </c>
      <c r="N200">
        <f t="shared" si="57"/>
        <v>98.262210000819181</v>
      </c>
    </row>
    <row r="201" spans="1:14" x14ac:dyDescent="0.35">
      <c r="A201">
        <v>38991.169000000002</v>
      </c>
      <c r="B201">
        <v>38991.629999999997</v>
      </c>
      <c r="C201">
        <v>38992.129999999997</v>
      </c>
      <c r="D201">
        <v>38992.6</v>
      </c>
      <c r="E201">
        <v>38992.993999999999</v>
      </c>
      <c r="G201">
        <f t="shared" si="50"/>
        <v>0.46099999999569263</v>
      </c>
      <c r="H201">
        <f t="shared" si="51"/>
        <v>115.85390999891752</v>
      </c>
      <c r="I201">
        <f t="shared" si="52"/>
        <v>0.5</v>
      </c>
      <c r="J201">
        <f t="shared" si="53"/>
        <v>125.655</v>
      </c>
      <c r="K201">
        <f t="shared" si="54"/>
        <v>0.47000000000116415</v>
      </c>
      <c r="L201">
        <f t="shared" si="55"/>
        <v>118.11570000029256</v>
      </c>
      <c r="M201">
        <f t="shared" si="56"/>
        <v>0.39400000000023283</v>
      </c>
      <c r="N201">
        <f t="shared" si="57"/>
        <v>99.016140000058513</v>
      </c>
    </row>
    <row r="202" spans="1:14" x14ac:dyDescent="0.35">
      <c r="A202">
        <v>39111.055999999997</v>
      </c>
      <c r="B202">
        <v>39111.517</v>
      </c>
      <c r="C202">
        <v>39112.017</v>
      </c>
      <c r="D202">
        <v>39112.487000000001</v>
      </c>
      <c r="E202">
        <v>39112.877999999997</v>
      </c>
      <c r="G202">
        <f t="shared" si="50"/>
        <v>0.46100000000296859</v>
      </c>
      <c r="H202">
        <f t="shared" si="51"/>
        <v>115.85391000074604</v>
      </c>
      <c r="I202">
        <f t="shared" si="52"/>
        <v>0.5</v>
      </c>
      <c r="J202">
        <f t="shared" si="53"/>
        <v>125.655</v>
      </c>
      <c r="K202">
        <f t="shared" si="54"/>
        <v>0.47000000000116415</v>
      </c>
      <c r="L202">
        <f t="shared" si="55"/>
        <v>118.11570000029256</v>
      </c>
      <c r="M202">
        <f t="shared" si="56"/>
        <v>0.39099999999598367</v>
      </c>
      <c r="N202">
        <f t="shared" si="57"/>
        <v>98.262209998990656</v>
      </c>
    </row>
    <row r="203" spans="1:14" x14ac:dyDescent="0.35">
      <c r="A203">
        <v>39233.055999999997</v>
      </c>
      <c r="B203">
        <v>39233.514000000003</v>
      </c>
      <c r="C203">
        <v>39234.014000000003</v>
      </c>
      <c r="D203">
        <v>39234.483</v>
      </c>
      <c r="E203">
        <v>39234.877</v>
      </c>
      <c r="G203">
        <f t="shared" si="50"/>
        <v>0.45800000000599539</v>
      </c>
      <c r="H203">
        <f t="shared" si="51"/>
        <v>115.09998000150671</v>
      </c>
      <c r="I203">
        <f t="shared" si="52"/>
        <v>0.5</v>
      </c>
      <c r="J203">
        <f t="shared" si="53"/>
        <v>125.655</v>
      </c>
      <c r="K203">
        <f t="shared" si="54"/>
        <v>0.46899999999732245</v>
      </c>
      <c r="L203">
        <f t="shared" si="55"/>
        <v>117.8643899993271</v>
      </c>
      <c r="M203">
        <f t="shared" si="56"/>
        <v>0.39400000000023283</v>
      </c>
      <c r="N203">
        <f t="shared" si="57"/>
        <v>99.016140000058513</v>
      </c>
    </row>
    <row r="204" spans="1:14" x14ac:dyDescent="0.35">
      <c r="A204">
        <v>39355.186000000002</v>
      </c>
      <c r="B204">
        <v>39355.631000000001</v>
      </c>
      <c r="C204">
        <v>39356.14</v>
      </c>
      <c r="D204">
        <v>39356.61</v>
      </c>
      <c r="E204">
        <v>39357.004999999997</v>
      </c>
      <c r="G204">
        <f t="shared" si="50"/>
        <v>0.44499999999970896</v>
      </c>
      <c r="H204">
        <f t="shared" si="51"/>
        <v>111.83294999992685</v>
      </c>
      <c r="I204">
        <f t="shared" si="52"/>
        <v>0.50899999999819556</v>
      </c>
      <c r="J204">
        <f t="shared" si="53"/>
        <v>127.91678999954652</v>
      </c>
      <c r="K204">
        <f t="shared" si="54"/>
        <v>0.47000000000116415</v>
      </c>
      <c r="L204">
        <f t="shared" si="55"/>
        <v>118.11570000029256</v>
      </c>
      <c r="M204">
        <f t="shared" si="56"/>
        <v>0.39499999999679858</v>
      </c>
      <c r="N204">
        <f t="shared" si="57"/>
        <v>99.267449999195449</v>
      </c>
    </row>
    <row r="205" spans="1:14" x14ac:dyDescent="0.35">
      <c r="A205">
        <v>39477.089</v>
      </c>
      <c r="B205">
        <v>39477.538999999997</v>
      </c>
      <c r="C205">
        <v>39478.048000000003</v>
      </c>
      <c r="D205">
        <v>39478.517</v>
      </c>
      <c r="E205">
        <v>39478.911999999997</v>
      </c>
      <c r="G205">
        <f t="shared" si="50"/>
        <v>0.44999999999708962</v>
      </c>
      <c r="H205">
        <f t="shared" si="51"/>
        <v>113.0894999992686</v>
      </c>
      <c r="I205">
        <f t="shared" si="52"/>
        <v>0.50900000000547152</v>
      </c>
      <c r="J205">
        <f t="shared" si="53"/>
        <v>127.91679000137505</v>
      </c>
      <c r="K205">
        <f t="shared" si="54"/>
        <v>0.46899999999732245</v>
      </c>
      <c r="L205">
        <f t="shared" si="55"/>
        <v>117.8643899993271</v>
      </c>
      <c r="M205">
        <f t="shared" si="56"/>
        <v>0.39499999999679858</v>
      </c>
      <c r="N205">
        <f t="shared" si="57"/>
        <v>99.267449999195449</v>
      </c>
    </row>
    <row r="206" spans="1:14" x14ac:dyDescent="0.35">
      <c r="A206">
        <v>39599.137999999999</v>
      </c>
      <c r="B206">
        <v>39599.584999999999</v>
      </c>
      <c r="C206">
        <v>39600.084999999999</v>
      </c>
      <c r="D206">
        <v>39600.563999999998</v>
      </c>
      <c r="E206">
        <v>39600.949999999997</v>
      </c>
      <c r="G206">
        <f t="shared" si="50"/>
        <v>0.44700000000011642</v>
      </c>
      <c r="H206">
        <f t="shared" si="51"/>
        <v>112.33557000002926</v>
      </c>
      <c r="I206">
        <f t="shared" si="52"/>
        <v>0.5</v>
      </c>
      <c r="J206">
        <f t="shared" si="53"/>
        <v>125.655</v>
      </c>
      <c r="K206">
        <f t="shared" si="54"/>
        <v>0.47899999999935972</v>
      </c>
      <c r="L206">
        <f t="shared" si="55"/>
        <v>120.37748999983909</v>
      </c>
      <c r="M206">
        <f t="shared" si="56"/>
        <v>0.38599999999860302</v>
      </c>
      <c r="N206">
        <f t="shared" si="57"/>
        <v>97.005659999648927</v>
      </c>
    </row>
    <row r="207" spans="1:14" x14ac:dyDescent="0.35">
      <c r="A207">
        <v>39723.169000000002</v>
      </c>
      <c r="B207">
        <v>39723.616999999998</v>
      </c>
      <c r="C207">
        <v>39724.116999999998</v>
      </c>
      <c r="D207">
        <v>39724.587</v>
      </c>
      <c r="E207">
        <v>39724.982000000004</v>
      </c>
      <c r="G207">
        <f t="shared" si="50"/>
        <v>0.44799999999668216</v>
      </c>
      <c r="H207">
        <f t="shared" si="51"/>
        <v>112.5868799991662</v>
      </c>
      <c r="I207">
        <f t="shared" si="52"/>
        <v>0.5</v>
      </c>
      <c r="J207">
        <f t="shared" si="53"/>
        <v>125.655</v>
      </c>
      <c r="K207">
        <f t="shared" si="54"/>
        <v>0.47000000000116415</v>
      </c>
      <c r="L207">
        <f t="shared" si="55"/>
        <v>118.11570000029256</v>
      </c>
      <c r="M207">
        <f t="shared" si="56"/>
        <v>0.39500000000407454</v>
      </c>
      <c r="N207">
        <f t="shared" si="57"/>
        <v>99.267450001023974</v>
      </c>
    </row>
    <row r="208" spans="1:14" x14ac:dyDescent="0.35">
      <c r="A208">
        <v>39843.355000000003</v>
      </c>
      <c r="B208">
        <v>39843.805</v>
      </c>
      <c r="C208">
        <v>39844.305</v>
      </c>
      <c r="D208">
        <v>39844.786999999997</v>
      </c>
      <c r="E208">
        <v>39845.182999999997</v>
      </c>
      <c r="G208">
        <f t="shared" si="50"/>
        <v>0.44999999999708962</v>
      </c>
      <c r="H208">
        <f t="shared" si="51"/>
        <v>113.0894999992686</v>
      </c>
      <c r="I208">
        <f t="shared" si="52"/>
        <v>0.5</v>
      </c>
      <c r="J208">
        <f t="shared" si="53"/>
        <v>125.655</v>
      </c>
      <c r="K208">
        <f t="shared" si="54"/>
        <v>0.48199999999633292</v>
      </c>
      <c r="L208">
        <f t="shared" si="55"/>
        <v>121.13141999907843</v>
      </c>
      <c r="M208">
        <f t="shared" si="56"/>
        <v>0.39600000000064028</v>
      </c>
      <c r="N208">
        <f t="shared" si="57"/>
        <v>99.51876000016091</v>
      </c>
    </row>
    <row r="209" spans="1:14" x14ac:dyDescent="0.35">
      <c r="A209">
        <v>39844.442999999999</v>
      </c>
      <c r="B209">
        <v>39844.887999999999</v>
      </c>
      <c r="C209">
        <v>39845.396999999997</v>
      </c>
      <c r="D209">
        <v>39845.870000000003</v>
      </c>
      <c r="E209">
        <v>39846.262999999999</v>
      </c>
      <c r="G209">
        <f t="shared" si="50"/>
        <v>0.44499999999970896</v>
      </c>
      <c r="H209">
        <f t="shared" si="51"/>
        <v>111.83294999992685</v>
      </c>
      <c r="I209">
        <f t="shared" si="52"/>
        <v>0.50899999999819556</v>
      </c>
      <c r="J209">
        <f t="shared" si="53"/>
        <v>127.91678999954652</v>
      </c>
      <c r="K209">
        <f t="shared" si="54"/>
        <v>0.47300000000541331</v>
      </c>
      <c r="L209">
        <f t="shared" si="55"/>
        <v>118.86963000136042</v>
      </c>
      <c r="M209">
        <f t="shared" si="56"/>
        <v>0.39299999999639113</v>
      </c>
      <c r="N209">
        <f t="shared" si="57"/>
        <v>98.764829999093052</v>
      </c>
    </row>
    <row r="210" spans="1:14" x14ac:dyDescent="0.35">
      <c r="A210">
        <v>39845.531999999999</v>
      </c>
      <c r="B210">
        <v>39845.978999999999</v>
      </c>
      <c r="C210">
        <v>39846.491000000002</v>
      </c>
      <c r="D210">
        <v>39846.962</v>
      </c>
      <c r="E210">
        <v>39847.358999999997</v>
      </c>
      <c r="G210">
        <f t="shared" si="50"/>
        <v>0.44700000000011642</v>
      </c>
      <c r="H210">
        <f t="shared" si="51"/>
        <v>112.33557000002926</v>
      </c>
      <c r="I210">
        <f t="shared" si="52"/>
        <v>0.51200000000244472</v>
      </c>
      <c r="J210">
        <f t="shared" si="53"/>
        <v>128.67072000061438</v>
      </c>
      <c r="K210">
        <f t="shared" si="54"/>
        <v>0.4709999999977299</v>
      </c>
      <c r="L210">
        <f t="shared" si="55"/>
        <v>118.3670099994295</v>
      </c>
      <c r="M210">
        <f t="shared" si="56"/>
        <v>0.39699999999720603</v>
      </c>
      <c r="N210">
        <f t="shared" si="57"/>
        <v>99.770069999297846</v>
      </c>
    </row>
    <row r="211" spans="1:14" x14ac:dyDescent="0.35">
      <c r="A211">
        <v>39846.620000000003</v>
      </c>
      <c r="B211">
        <v>39847.089999999997</v>
      </c>
      <c r="C211">
        <v>39847.582000000002</v>
      </c>
      <c r="D211">
        <v>39848.063000000002</v>
      </c>
      <c r="E211">
        <v>39848.453000000001</v>
      </c>
      <c r="G211">
        <f t="shared" si="50"/>
        <v>0.4699999999938882</v>
      </c>
      <c r="H211">
        <f t="shared" si="51"/>
        <v>118.11569999846404</v>
      </c>
      <c r="I211">
        <f t="shared" si="52"/>
        <v>0.49200000000564614</v>
      </c>
      <c r="J211">
        <f t="shared" si="53"/>
        <v>123.64452000141894</v>
      </c>
      <c r="K211">
        <f t="shared" si="54"/>
        <v>0.48099999999976717</v>
      </c>
      <c r="L211">
        <f t="shared" si="55"/>
        <v>120.88010999994148</v>
      </c>
      <c r="M211">
        <f t="shared" si="56"/>
        <v>0.38999999999941792</v>
      </c>
      <c r="N211">
        <f t="shared" si="57"/>
        <v>98.01089999985372</v>
      </c>
    </row>
    <row r="212" spans="1:14" x14ac:dyDescent="0.35">
      <c r="A212">
        <v>39847.711000000003</v>
      </c>
      <c r="B212">
        <v>39848.182000000001</v>
      </c>
      <c r="C212">
        <v>39848.671999999999</v>
      </c>
      <c r="D212">
        <v>39849.142999999996</v>
      </c>
      <c r="E212">
        <v>39849.538999999997</v>
      </c>
      <c r="G212">
        <f t="shared" si="50"/>
        <v>0.4709999999977299</v>
      </c>
      <c r="H212">
        <f t="shared" si="51"/>
        <v>118.3670099994295</v>
      </c>
      <c r="I212">
        <f t="shared" si="52"/>
        <v>0.48999999999796273</v>
      </c>
      <c r="J212">
        <f t="shared" si="53"/>
        <v>123.14189999948802</v>
      </c>
      <c r="K212">
        <f t="shared" si="54"/>
        <v>0.4709999999977299</v>
      </c>
      <c r="L212">
        <f t="shared" si="55"/>
        <v>118.3670099994295</v>
      </c>
      <c r="M212">
        <f t="shared" si="56"/>
        <v>0.39600000000064028</v>
      </c>
      <c r="N212">
        <f t="shared" si="57"/>
        <v>99.51876000016091</v>
      </c>
    </row>
    <row r="213" spans="1:14" x14ac:dyDescent="0.35">
      <c r="A213">
        <v>39848.798000000003</v>
      </c>
      <c r="B213">
        <v>39849.264999999999</v>
      </c>
      <c r="C213">
        <v>39849.745000000003</v>
      </c>
      <c r="D213">
        <v>39850.237000000001</v>
      </c>
      <c r="E213">
        <v>39850.625</v>
      </c>
      <c r="G213">
        <f t="shared" si="50"/>
        <v>0.46699999999691499</v>
      </c>
      <c r="H213">
        <f t="shared" si="51"/>
        <v>117.36176999922471</v>
      </c>
      <c r="I213">
        <f t="shared" si="52"/>
        <v>0.48000000000320142</v>
      </c>
      <c r="J213">
        <f t="shared" si="53"/>
        <v>120.62880000080455</v>
      </c>
      <c r="K213">
        <f t="shared" si="54"/>
        <v>0.49199999999837019</v>
      </c>
      <c r="L213">
        <f t="shared" si="55"/>
        <v>123.64451999959041</v>
      </c>
      <c r="M213">
        <f t="shared" si="56"/>
        <v>0.38799999999901047</v>
      </c>
      <c r="N213">
        <f t="shared" si="57"/>
        <v>97.508279999751323</v>
      </c>
    </row>
    <row r="214" spans="1:14" x14ac:dyDescent="0.35">
      <c r="A214">
        <v>39849.885000000002</v>
      </c>
      <c r="B214">
        <v>39850.347000000002</v>
      </c>
      <c r="C214">
        <v>39850.847999999998</v>
      </c>
      <c r="D214">
        <v>39851.317999999999</v>
      </c>
      <c r="E214">
        <v>39851.722999999998</v>
      </c>
      <c r="G214">
        <f t="shared" si="50"/>
        <v>0.46199999999953434</v>
      </c>
      <c r="H214">
        <f t="shared" si="51"/>
        <v>116.10521999988298</v>
      </c>
      <c r="I214">
        <f t="shared" si="52"/>
        <v>0.50099999999656575</v>
      </c>
      <c r="J214">
        <f t="shared" si="53"/>
        <v>125.90630999913694</v>
      </c>
      <c r="K214">
        <f t="shared" si="54"/>
        <v>0.47000000000116415</v>
      </c>
      <c r="L214">
        <f t="shared" si="55"/>
        <v>118.11570000029256</v>
      </c>
      <c r="M214">
        <f t="shared" si="56"/>
        <v>0.40499999999883585</v>
      </c>
      <c r="N214">
        <f t="shared" si="57"/>
        <v>101.78054999970743</v>
      </c>
    </row>
    <row r="215" spans="1:14" x14ac:dyDescent="0.35">
      <c r="A215">
        <v>39850.972999999998</v>
      </c>
      <c r="B215">
        <v>39851.421000000002</v>
      </c>
      <c r="C215">
        <v>39851.93</v>
      </c>
      <c r="D215">
        <v>39852.410000000003</v>
      </c>
      <c r="E215">
        <v>39852.798000000003</v>
      </c>
      <c r="G215">
        <f t="shared" si="50"/>
        <v>0.44800000000395812</v>
      </c>
      <c r="H215">
        <f t="shared" si="51"/>
        <v>112.58688000099471</v>
      </c>
      <c r="I215">
        <f t="shared" si="52"/>
        <v>0.50899999999819556</v>
      </c>
      <c r="J215">
        <f t="shared" si="53"/>
        <v>127.91678999954652</v>
      </c>
      <c r="K215">
        <f t="shared" si="54"/>
        <v>0.48000000000320142</v>
      </c>
      <c r="L215">
        <f t="shared" si="55"/>
        <v>120.62880000080455</v>
      </c>
      <c r="M215">
        <f t="shared" si="56"/>
        <v>0.38799999999901047</v>
      </c>
      <c r="N215">
        <f t="shared" si="57"/>
        <v>97.508279999751323</v>
      </c>
    </row>
    <row r="216" spans="1:14" x14ac:dyDescent="0.35">
      <c r="A216">
        <v>39852.063000000002</v>
      </c>
      <c r="B216">
        <v>39852.521999999997</v>
      </c>
      <c r="C216">
        <v>39853.021999999997</v>
      </c>
      <c r="D216">
        <v>39853.491999999998</v>
      </c>
      <c r="E216">
        <v>39853.892</v>
      </c>
      <c r="G216">
        <f t="shared" si="50"/>
        <v>0.45899999999528518</v>
      </c>
      <c r="H216">
        <f t="shared" si="51"/>
        <v>115.35128999881512</v>
      </c>
      <c r="I216">
        <f t="shared" si="52"/>
        <v>0.5</v>
      </c>
      <c r="J216">
        <f t="shared" si="53"/>
        <v>125.655</v>
      </c>
      <c r="K216">
        <f t="shared" si="54"/>
        <v>0.47000000000116415</v>
      </c>
      <c r="L216">
        <f t="shared" si="55"/>
        <v>118.11570000029256</v>
      </c>
      <c r="M216">
        <f t="shared" si="56"/>
        <v>0.40000000000145519</v>
      </c>
      <c r="N216">
        <f t="shared" si="57"/>
        <v>100.5240000003657</v>
      </c>
    </row>
    <row r="217" spans="1:14" x14ac:dyDescent="0.35">
      <c r="A217">
        <v>39853.152000000002</v>
      </c>
      <c r="B217">
        <v>39853.612999999998</v>
      </c>
      <c r="C217">
        <v>39854.101999999999</v>
      </c>
      <c r="D217">
        <v>39854.593999999997</v>
      </c>
      <c r="E217">
        <v>39854.982000000004</v>
      </c>
      <c r="G217">
        <f t="shared" si="50"/>
        <v>0.46099999999569263</v>
      </c>
      <c r="H217">
        <f t="shared" si="51"/>
        <v>115.85390999891752</v>
      </c>
      <c r="I217">
        <f t="shared" si="52"/>
        <v>0.48900000000139698</v>
      </c>
      <c r="J217">
        <f t="shared" si="53"/>
        <v>122.89059000035108</v>
      </c>
      <c r="K217">
        <f t="shared" si="54"/>
        <v>0.49199999999837019</v>
      </c>
      <c r="L217">
        <f t="shared" si="55"/>
        <v>123.64451999959041</v>
      </c>
      <c r="M217">
        <f t="shared" si="56"/>
        <v>0.38800000000628643</v>
      </c>
      <c r="N217">
        <f t="shared" si="57"/>
        <v>97.508280001579848</v>
      </c>
    </row>
    <row r="218" spans="1:14" x14ac:dyDescent="0.35">
      <c r="A218">
        <v>39854.241999999998</v>
      </c>
      <c r="B218">
        <v>39854.714999999997</v>
      </c>
      <c r="C218">
        <v>39855.197</v>
      </c>
      <c r="D218">
        <v>39855.667000000001</v>
      </c>
      <c r="E218">
        <v>39856.065000000002</v>
      </c>
      <c r="G218">
        <f t="shared" si="50"/>
        <v>0.47299999999813735</v>
      </c>
      <c r="H218">
        <f t="shared" si="51"/>
        <v>118.8696299995319</v>
      </c>
      <c r="I218">
        <f t="shared" si="52"/>
        <v>0.48200000000360887</v>
      </c>
      <c r="J218">
        <f t="shared" si="53"/>
        <v>121.13142000090694</v>
      </c>
      <c r="K218">
        <f t="shared" si="54"/>
        <v>0.47000000000116415</v>
      </c>
      <c r="L218">
        <f t="shared" si="55"/>
        <v>118.11570000029256</v>
      </c>
      <c r="M218">
        <f t="shared" si="56"/>
        <v>0.39800000000104774</v>
      </c>
      <c r="N218">
        <f t="shared" si="57"/>
        <v>100.02138000026331</v>
      </c>
    </row>
    <row r="219" spans="1:14" x14ac:dyDescent="0.35">
      <c r="A219">
        <v>39855.328999999998</v>
      </c>
      <c r="B219">
        <v>39855.798000000003</v>
      </c>
      <c r="C219">
        <v>39856.288</v>
      </c>
      <c r="D219">
        <v>39856.747000000003</v>
      </c>
      <c r="E219">
        <v>39857.154000000002</v>
      </c>
      <c r="G219">
        <f t="shared" si="50"/>
        <v>0.46900000000459841</v>
      </c>
      <c r="H219">
        <f t="shared" si="51"/>
        <v>117.86439000115563</v>
      </c>
      <c r="I219">
        <f t="shared" si="52"/>
        <v>0.48999999999796273</v>
      </c>
      <c r="J219">
        <f t="shared" si="53"/>
        <v>123.14189999948802</v>
      </c>
      <c r="K219">
        <f t="shared" si="54"/>
        <v>0.45900000000256114</v>
      </c>
      <c r="L219">
        <f t="shared" si="55"/>
        <v>115.35129000064364</v>
      </c>
      <c r="M219">
        <f t="shared" si="56"/>
        <v>0.4069999999992433</v>
      </c>
      <c r="N219">
        <f t="shared" si="57"/>
        <v>102.28316999980983</v>
      </c>
    </row>
    <row r="220" spans="1:14" x14ac:dyDescent="0.35">
      <c r="A220">
        <v>39856.417999999998</v>
      </c>
      <c r="B220">
        <v>39856.889000000003</v>
      </c>
      <c r="C220">
        <v>39857.379999999997</v>
      </c>
      <c r="D220">
        <v>39857.860999999997</v>
      </c>
      <c r="E220">
        <v>39858.247000000003</v>
      </c>
      <c r="G220">
        <f t="shared" si="50"/>
        <v>0.47100000000500586</v>
      </c>
      <c r="H220">
        <f t="shared" si="51"/>
        <v>118.36701000125802</v>
      </c>
      <c r="I220">
        <f t="shared" si="52"/>
        <v>0.49099999999452848</v>
      </c>
      <c r="J220">
        <f t="shared" si="53"/>
        <v>123.39320999862495</v>
      </c>
      <c r="K220">
        <f t="shared" si="54"/>
        <v>0.48099999999976717</v>
      </c>
      <c r="L220">
        <f t="shared" si="55"/>
        <v>120.88010999994148</v>
      </c>
      <c r="M220">
        <f t="shared" si="56"/>
        <v>0.38600000000587897</v>
      </c>
      <c r="N220">
        <f t="shared" si="57"/>
        <v>97.005660001477452</v>
      </c>
    </row>
    <row r="221" spans="1:14" x14ac:dyDescent="0.35">
      <c r="A221">
        <v>39857.504999999997</v>
      </c>
      <c r="B221">
        <v>39857.972999999998</v>
      </c>
      <c r="C221">
        <v>39858.451000000001</v>
      </c>
      <c r="D221">
        <v>39858.942999999999</v>
      </c>
      <c r="E221">
        <v>39859.332999999999</v>
      </c>
      <c r="G221">
        <f t="shared" si="50"/>
        <v>0.4680000000007567</v>
      </c>
      <c r="H221">
        <f t="shared" si="51"/>
        <v>117.61308000019017</v>
      </c>
      <c r="I221">
        <f t="shared" si="52"/>
        <v>0.47800000000279397</v>
      </c>
      <c r="J221">
        <f t="shared" si="53"/>
        <v>120.12618000070215</v>
      </c>
      <c r="K221">
        <f t="shared" si="54"/>
        <v>0.49199999999837019</v>
      </c>
      <c r="L221">
        <f t="shared" si="55"/>
        <v>123.64451999959041</v>
      </c>
      <c r="M221">
        <f t="shared" si="56"/>
        <v>0.38999999999941792</v>
      </c>
      <c r="N221">
        <f t="shared" si="57"/>
        <v>98.01089999985372</v>
      </c>
    </row>
    <row r="222" spans="1:14" x14ac:dyDescent="0.35">
      <c r="A222">
        <v>39858.591999999997</v>
      </c>
      <c r="B222">
        <v>39859.063000000002</v>
      </c>
      <c r="C222">
        <v>39859.552000000003</v>
      </c>
      <c r="D222">
        <v>39860.025000000001</v>
      </c>
      <c r="E222">
        <v>39860.421999999999</v>
      </c>
      <c r="G222">
        <f t="shared" si="50"/>
        <v>0.47100000000500586</v>
      </c>
      <c r="H222">
        <f t="shared" si="51"/>
        <v>118.36701000125802</v>
      </c>
      <c r="I222">
        <f t="shared" si="52"/>
        <v>0.48900000000139698</v>
      </c>
      <c r="J222">
        <f t="shared" si="53"/>
        <v>122.89059000035108</v>
      </c>
      <c r="K222">
        <f t="shared" si="54"/>
        <v>0.47299999999813735</v>
      </c>
      <c r="L222">
        <f t="shared" si="55"/>
        <v>118.8696299995319</v>
      </c>
      <c r="M222">
        <f t="shared" si="56"/>
        <v>0.39699999999720603</v>
      </c>
      <c r="N222">
        <f t="shared" si="57"/>
        <v>99.770069999297846</v>
      </c>
    </row>
    <row r="223" spans="1:14" x14ac:dyDescent="0.35">
      <c r="A223">
        <v>39859.680999999997</v>
      </c>
      <c r="B223">
        <v>39860.144</v>
      </c>
      <c r="C223">
        <v>39860.644999999997</v>
      </c>
      <c r="D223">
        <v>39861.129000000001</v>
      </c>
      <c r="E223">
        <v>39861.519999999997</v>
      </c>
      <c r="G223">
        <f t="shared" si="50"/>
        <v>0.46300000000337604</v>
      </c>
      <c r="H223">
        <f t="shared" si="51"/>
        <v>116.35653000084844</v>
      </c>
      <c r="I223">
        <f t="shared" si="52"/>
        <v>0.50099999999656575</v>
      </c>
      <c r="J223">
        <f t="shared" si="53"/>
        <v>125.90630999913694</v>
      </c>
      <c r="K223">
        <f t="shared" si="54"/>
        <v>0.48400000000401633</v>
      </c>
      <c r="L223">
        <f t="shared" si="55"/>
        <v>121.63404000100934</v>
      </c>
      <c r="M223">
        <f t="shared" si="56"/>
        <v>0.39099999999598367</v>
      </c>
      <c r="N223">
        <f t="shared" si="57"/>
        <v>98.262209998990656</v>
      </c>
    </row>
    <row r="224" spans="1:14" x14ac:dyDescent="0.35">
      <c r="A224">
        <v>39860.773999999998</v>
      </c>
      <c r="B224">
        <v>39861.228000000003</v>
      </c>
      <c r="C224">
        <v>39861.716</v>
      </c>
      <c r="D224">
        <v>39862.197999999997</v>
      </c>
      <c r="E224">
        <v>39862.593999999997</v>
      </c>
      <c r="G224">
        <f t="shared" si="50"/>
        <v>0.45400000000518048</v>
      </c>
      <c r="H224">
        <f t="shared" si="51"/>
        <v>114.09474000130191</v>
      </c>
      <c r="I224">
        <f t="shared" si="52"/>
        <v>0.48799999999755528</v>
      </c>
      <c r="J224">
        <f t="shared" si="53"/>
        <v>122.63927999938562</v>
      </c>
      <c r="K224">
        <f t="shared" si="54"/>
        <v>0.48199999999633292</v>
      </c>
      <c r="L224">
        <f t="shared" si="55"/>
        <v>121.13141999907843</v>
      </c>
      <c r="M224">
        <f t="shared" si="56"/>
        <v>0.39600000000064028</v>
      </c>
      <c r="N224">
        <f t="shared" si="57"/>
        <v>99.51876000016091</v>
      </c>
    </row>
    <row r="225" spans="1:14" x14ac:dyDescent="0.35">
      <c r="A225">
        <v>39861.862999999998</v>
      </c>
      <c r="B225">
        <v>39862.319000000003</v>
      </c>
      <c r="C225">
        <v>39862.82</v>
      </c>
      <c r="D225">
        <v>39863.29</v>
      </c>
      <c r="E225">
        <v>39863.688000000002</v>
      </c>
      <c r="G225">
        <f t="shared" si="50"/>
        <v>0.45600000000558794</v>
      </c>
      <c r="H225">
        <f t="shared" si="51"/>
        <v>114.59736000140431</v>
      </c>
      <c r="I225">
        <f t="shared" si="52"/>
        <v>0.50099999999656575</v>
      </c>
      <c r="J225">
        <f t="shared" si="53"/>
        <v>125.90630999913694</v>
      </c>
      <c r="K225">
        <f t="shared" si="54"/>
        <v>0.47000000000116415</v>
      </c>
      <c r="L225">
        <f t="shared" si="55"/>
        <v>118.11570000029256</v>
      </c>
      <c r="M225">
        <f t="shared" si="56"/>
        <v>0.39800000000104774</v>
      </c>
      <c r="N225">
        <f t="shared" si="57"/>
        <v>100.02138000026331</v>
      </c>
    </row>
    <row r="226" spans="1:14" x14ac:dyDescent="0.35">
      <c r="A226">
        <v>39862.949999999997</v>
      </c>
      <c r="B226">
        <v>39863.411</v>
      </c>
      <c r="C226">
        <v>39863.911999999997</v>
      </c>
      <c r="D226">
        <v>39864.392</v>
      </c>
      <c r="E226">
        <v>39864.775999999998</v>
      </c>
      <c r="G226">
        <f t="shared" si="50"/>
        <v>0.46100000000296859</v>
      </c>
      <c r="H226">
        <f t="shared" si="51"/>
        <v>115.85391000074604</v>
      </c>
      <c r="I226">
        <f t="shared" si="52"/>
        <v>0.50099999999656575</v>
      </c>
      <c r="J226">
        <f t="shared" si="53"/>
        <v>125.90630999913694</v>
      </c>
      <c r="K226">
        <f t="shared" si="54"/>
        <v>0.48000000000320142</v>
      </c>
      <c r="L226">
        <f t="shared" si="55"/>
        <v>120.62880000080455</v>
      </c>
      <c r="M226">
        <f t="shared" si="56"/>
        <v>0.38399999999819556</v>
      </c>
      <c r="N226">
        <f t="shared" si="57"/>
        <v>96.50303999954653</v>
      </c>
    </row>
    <row r="227" spans="1:14" x14ac:dyDescent="0.35">
      <c r="A227">
        <v>39864.038999999997</v>
      </c>
      <c r="B227">
        <v>39864.482000000004</v>
      </c>
      <c r="C227">
        <v>39864.983999999997</v>
      </c>
      <c r="D227">
        <v>39865.455000000002</v>
      </c>
      <c r="E227">
        <v>39865.85</v>
      </c>
      <c r="G227">
        <f t="shared" si="50"/>
        <v>0.44300000000657747</v>
      </c>
      <c r="H227">
        <f t="shared" si="51"/>
        <v>111.33033000165298</v>
      </c>
      <c r="I227">
        <f t="shared" si="52"/>
        <v>0.5019999999931315</v>
      </c>
      <c r="J227">
        <f t="shared" si="53"/>
        <v>126.15761999827387</v>
      </c>
      <c r="K227">
        <f t="shared" si="54"/>
        <v>0.47100000000500586</v>
      </c>
      <c r="L227">
        <f t="shared" si="55"/>
        <v>118.36701000125802</v>
      </c>
      <c r="M227">
        <f t="shared" si="56"/>
        <v>0.39499999999679858</v>
      </c>
      <c r="N227">
        <f t="shared" si="57"/>
        <v>99.267449999195449</v>
      </c>
    </row>
    <row r="228" spans="1:14" x14ac:dyDescent="0.35">
      <c r="A228">
        <v>39865.127</v>
      </c>
      <c r="B228">
        <v>39865.605000000003</v>
      </c>
      <c r="C228">
        <v>39866.084999999999</v>
      </c>
      <c r="D228">
        <v>39866.557000000001</v>
      </c>
      <c r="E228">
        <v>39866.957999999999</v>
      </c>
      <c r="G228">
        <f t="shared" si="50"/>
        <v>0.47800000000279397</v>
      </c>
      <c r="H228">
        <f t="shared" si="51"/>
        <v>120.12618000070215</v>
      </c>
      <c r="I228">
        <f t="shared" si="52"/>
        <v>0.47999999999592546</v>
      </c>
      <c r="J228">
        <f t="shared" si="53"/>
        <v>120.62879999897604</v>
      </c>
      <c r="K228">
        <f t="shared" si="54"/>
        <v>0.47200000000157161</v>
      </c>
      <c r="L228">
        <f t="shared" si="55"/>
        <v>118.61832000039496</v>
      </c>
      <c r="M228">
        <f t="shared" si="56"/>
        <v>0.40099999999802094</v>
      </c>
      <c r="N228">
        <f t="shared" si="57"/>
        <v>100.77530999950264</v>
      </c>
    </row>
    <row r="229" spans="1:14" x14ac:dyDescent="0.35">
      <c r="A229">
        <v>39866.213000000003</v>
      </c>
      <c r="B229">
        <v>39866.677000000003</v>
      </c>
      <c r="C229">
        <v>39867.156999999999</v>
      </c>
      <c r="D229">
        <v>39867.648000000001</v>
      </c>
      <c r="E229">
        <v>39868.034</v>
      </c>
      <c r="G229">
        <f t="shared" si="50"/>
        <v>0.46399999999994179</v>
      </c>
      <c r="H229">
        <f t="shared" si="51"/>
        <v>116.60783999998537</v>
      </c>
      <c r="I229">
        <f t="shared" si="52"/>
        <v>0.47999999999592546</v>
      </c>
      <c r="J229">
        <f t="shared" si="53"/>
        <v>120.62879999897604</v>
      </c>
      <c r="K229">
        <f t="shared" si="54"/>
        <v>0.49100000000180444</v>
      </c>
      <c r="L229">
        <f t="shared" si="55"/>
        <v>123.39321000045348</v>
      </c>
      <c r="M229">
        <f t="shared" si="56"/>
        <v>0.38599999999860302</v>
      </c>
      <c r="N229">
        <f t="shared" si="57"/>
        <v>97.005659999648927</v>
      </c>
    </row>
    <row r="230" spans="1:14" x14ac:dyDescent="0.35">
      <c r="A230">
        <v>39867.300999999999</v>
      </c>
      <c r="B230">
        <v>39867.769999999997</v>
      </c>
      <c r="C230">
        <v>39868.250999999997</v>
      </c>
      <c r="D230">
        <v>39868.730000000003</v>
      </c>
      <c r="E230">
        <v>39869.127999999997</v>
      </c>
      <c r="G230">
        <f t="shared" si="50"/>
        <v>0.46899999999732245</v>
      </c>
      <c r="H230">
        <f t="shared" si="51"/>
        <v>117.8643899993271</v>
      </c>
      <c r="I230">
        <f t="shared" si="52"/>
        <v>0.48099999999976717</v>
      </c>
      <c r="J230">
        <f t="shared" si="53"/>
        <v>120.88010999994148</v>
      </c>
      <c r="K230">
        <f t="shared" si="54"/>
        <v>0.47900000000663567</v>
      </c>
      <c r="L230">
        <f t="shared" si="55"/>
        <v>120.37749000166761</v>
      </c>
      <c r="M230">
        <f t="shared" si="56"/>
        <v>0.39799999999377178</v>
      </c>
      <c r="N230">
        <f t="shared" si="57"/>
        <v>100.02137999843478</v>
      </c>
    </row>
    <row r="231" spans="1:14" x14ac:dyDescent="0.35">
      <c r="A231">
        <v>39868.39</v>
      </c>
      <c r="B231">
        <v>39868.841</v>
      </c>
      <c r="C231">
        <v>39869.351999999999</v>
      </c>
      <c r="D231">
        <v>39869.813000000002</v>
      </c>
      <c r="E231">
        <v>39870.22</v>
      </c>
      <c r="G231">
        <f t="shared" si="50"/>
        <v>0.45100000000093132</v>
      </c>
      <c r="H231">
        <f t="shared" si="51"/>
        <v>113.34081000023406</v>
      </c>
      <c r="I231">
        <f t="shared" si="52"/>
        <v>0.51099999999860302</v>
      </c>
      <c r="J231">
        <f t="shared" si="53"/>
        <v>128.41940999964893</v>
      </c>
      <c r="K231">
        <f t="shared" si="54"/>
        <v>0.46100000000296859</v>
      </c>
      <c r="L231">
        <f t="shared" si="55"/>
        <v>115.85391000074604</v>
      </c>
      <c r="M231">
        <f t="shared" si="56"/>
        <v>0.4069999999992433</v>
      </c>
      <c r="N231">
        <f t="shared" si="57"/>
        <v>102.28316999980983</v>
      </c>
    </row>
    <row r="232" spans="1:14" x14ac:dyDescent="0.35">
      <c r="A232">
        <v>39869.480000000003</v>
      </c>
      <c r="B232">
        <v>39869.951000000001</v>
      </c>
      <c r="C232">
        <v>39870.423000000003</v>
      </c>
      <c r="D232">
        <v>39870.904000000002</v>
      </c>
      <c r="E232">
        <v>39871.296999999999</v>
      </c>
      <c r="G232">
        <f t="shared" si="50"/>
        <v>0.4709999999977299</v>
      </c>
      <c r="H232">
        <f t="shared" si="51"/>
        <v>118.3670099994295</v>
      </c>
      <c r="I232">
        <f t="shared" si="52"/>
        <v>0.47200000000157161</v>
      </c>
      <c r="J232">
        <f t="shared" si="53"/>
        <v>118.61832000039496</v>
      </c>
      <c r="K232">
        <f t="shared" si="54"/>
        <v>0.48099999999976717</v>
      </c>
      <c r="L232">
        <f t="shared" si="55"/>
        <v>120.88010999994148</v>
      </c>
      <c r="M232">
        <f t="shared" si="56"/>
        <v>0.39299999999639113</v>
      </c>
      <c r="N232">
        <f t="shared" si="57"/>
        <v>98.764829999093052</v>
      </c>
    </row>
    <row r="233" spans="1:14" x14ac:dyDescent="0.35">
      <c r="A233">
        <v>39870.567000000003</v>
      </c>
      <c r="B233">
        <v>39871.035000000003</v>
      </c>
      <c r="C233">
        <v>39871.527000000002</v>
      </c>
      <c r="D233">
        <v>39871.997000000003</v>
      </c>
      <c r="E233">
        <v>39872.392999999996</v>
      </c>
      <c r="G233">
        <f t="shared" si="50"/>
        <v>0.4680000000007567</v>
      </c>
      <c r="H233">
        <f t="shared" si="51"/>
        <v>117.61308000019017</v>
      </c>
      <c r="I233">
        <f t="shared" si="52"/>
        <v>0.49199999999837019</v>
      </c>
      <c r="J233">
        <f t="shared" si="53"/>
        <v>123.64451999959041</v>
      </c>
      <c r="K233">
        <f t="shared" si="54"/>
        <v>0.47000000000116415</v>
      </c>
      <c r="L233">
        <f t="shared" si="55"/>
        <v>118.11570000029256</v>
      </c>
      <c r="M233">
        <f t="shared" si="56"/>
        <v>0.39599999999336433</v>
      </c>
      <c r="N233">
        <f t="shared" si="57"/>
        <v>99.518759998332385</v>
      </c>
    </row>
    <row r="234" spans="1:14" x14ac:dyDescent="0.35">
      <c r="A234">
        <v>39871.654999999999</v>
      </c>
      <c r="B234">
        <v>39872.127</v>
      </c>
      <c r="C234">
        <v>39872.616999999998</v>
      </c>
      <c r="D234">
        <v>39873.097999999998</v>
      </c>
      <c r="E234">
        <v>39873.483999999997</v>
      </c>
      <c r="G234">
        <f t="shared" si="50"/>
        <v>0.47200000000157161</v>
      </c>
      <c r="H234">
        <f t="shared" si="51"/>
        <v>118.61832000039496</v>
      </c>
      <c r="I234">
        <f t="shared" si="52"/>
        <v>0.48999999999796273</v>
      </c>
      <c r="J234">
        <f t="shared" si="53"/>
        <v>123.14189999948802</v>
      </c>
      <c r="K234">
        <f t="shared" si="54"/>
        <v>0.48099999999976717</v>
      </c>
      <c r="L234">
        <f t="shared" si="55"/>
        <v>120.88010999994148</v>
      </c>
      <c r="M234">
        <f t="shared" si="56"/>
        <v>0.38599999999860302</v>
      </c>
      <c r="N234">
        <f t="shared" si="57"/>
        <v>97.005659999648927</v>
      </c>
    </row>
    <row r="235" spans="1:14" x14ac:dyDescent="0.35">
      <c r="A235">
        <v>39872.743000000002</v>
      </c>
      <c r="B235">
        <v>39873.199999999997</v>
      </c>
      <c r="C235">
        <v>39873.69</v>
      </c>
      <c r="D235">
        <v>39874.18</v>
      </c>
      <c r="E235">
        <v>39874.561000000002</v>
      </c>
      <c r="G235">
        <f t="shared" si="50"/>
        <v>0.45699999999487773</v>
      </c>
      <c r="H235">
        <f t="shared" si="51"/>
        <v>114.84866999871272</v>
      </c>
      <c r="I235">
        <f t="shared" si="52"/>
        <v>0.49000000000523869</v>
      </c>
      <c r="J235">
        <f t="shared" si="53"/>
        <v>123.14190000131654</v>
      </c>
      <c r="K235">
        <f t="shared" si="54"/>
        <v>0.48999999999796273</v>
      </c>
      <c r="L235">
        <f t="shared" si="55"/>
        <v>123.14189999948802</v>
      </c>
      <c r="M235">
        <f t="shared" si="56"/>
        <v>0.38100000000122236</v>
      </c>
      <c r="N235">
        <f t="shared" si="57"/>
        <v>95.749110000307198</v>
      </c>
    </row>
    <row r="236" spans="1:14" x14ac:dyDescent="0.35">
      <c r="A236">
        <v>39873.83</v>
      </c>
      <c r="B236">
        <v>39874.302000000003</v>
      </c>
      <c r="C236">
        <v>39874.781999999999</v>
      </c>
      <c r="D236">
        <v>39875.260999999999</v>
      </c>
      <c r="E236">
        <v>39875.660000000003</v>
      </c>
      <c r="G236">
        <f t="shared" si="50"/>
        <v>0.47200000000157161</v>
      </c>
      <c r="H236">
        <f t="shared" si="51"/>
        <v>118.61832000039496</v>
      </c>
      <c r="I236">
        <f t="shared" si="52"/>
        <v>0.47999999999592546</v>
      </c>
      <c r="J236">
        <f t="shared" si="53"/>
        <v>120.62879999897604</v>
      </c>
      <c r="K236">
        <f t="shared" si="54"/>
        <v>0.47899999999935972</v>
      </c>
      <c r="L236">
        <f t="shared" si="55"/>
        <v>120.37748999983909</v>
      </c>
      <c r="M236">
        <f t="shared" si="56"/>
        <v>0.39900000000488944</v>
      </c>
      <c r="N236">
        <f t="shared" si="57"/>
        <v>100.27269000122877</v>
      </c>
    </row>
    <row r="237" spans="1:14" x14ac:dyDescent="0.35">
      <c r="A237">
        <v>39874.919000000002</v>
      </c>
      <c r="B237">
        <v>39875.381999999998</v>
      </c>
      <c r="C237">
        <v>39875.862999999998</v>
      </c>
      <c r="D237">
        <v>39876.353999999999</v>
      </c>
      <c r="E237">
        <v>39876.74</v>
      </c>
      <c r="G237">
        <f t="shared" si="50"/>
        <v>0.46299999999610009</v>
      </c>
      <c r="H237">
        <f t="shared" si="51"/>
        <v>116.35652999901991</v>
      </c>
      <c r="I237">
        <f t="shared" si="52"/>
        <v>0.48099999999976717</v>
      </c>
      <c r="J237">
        <f t="shared" si="53"/>
        <v>120.88010999994148</v>
      </c>
      <c r="K237">
        <f t="shared" si="54"/>
        <v>0.49100000000180444</v>
      </c>
      <c r="L237">
        <f t="shared" si="55"/>
        <v>123.39321000045348</v>
      </c>
      <c r="M237">
        <f t="shared" si="56"/>
        <v>0.38599999999860302</v>
      </c>
      <c r="N237">
        <f t="shared" si="57"/>
        <v>97.005659999648927</v>
      </c>
    </row>
    <row r="238" spans="1:14" x14ac:dyDescent="0.35">
      <c r="A238">
        <v>39876.006999999998</v>
      </c>
      <c r="B238">
        <v>39876.474999999999</v>
      </c>
      <c r="C238">
        <v>39876.955000000002</v>
      </c>
      <c r="D238">
        <v>39877.436999999998</v>
      </c>
      <c r="E238">
        <v>39877.832999999999</v>
      </c>
      <c r="G238">
        <f t="shared" si="50"/>
        <v>0.4680000000007567</v>
      </c>
      <c r="H238">
        <f t="shared" si="51"/>
        <v>117.61308000019017</v>
      </c>
      <c r="I238">
        <f t="shared" si="52"/>
        <v>0.48000000000320142</v>
      </c>
      <c r="J238">
        <f t="shared" si="53"/>
        <v>120.62880000080455</v>
      </c>
      <c r="K238">
        <f t="shared" si="54"/>
        <v>0.48199999999633292</v>
      </c>
      <c r="L238">
        <f t="shared" si="55"/>
        <v>121.13141999907843</v>
      </c>
      <c r="M238">
        <f t="shared" si="56"/>
        <v>0.39600000000064028</v>
      </c>
      <c r="N238">
        <f t="shared" si="57"/>
        <v>99.51876000016091</v>
      </c>
    </row>
    <row r="239" spans="1:14" x14ac:dyDescent="0.35">
      <c r="A239">
        <v>39877.093000000001</v>
      </c>
      <c r="B239">
        <v>39877.538</v>
      </c>
      <c r="C239">
        <v>39878.036999999997</v>
      </c>
      <c r="D239">
        <v>39878.508000000002</v>
      </c>
      <c r="E239">
        <v>39878.917000000001</v>
      </c>
      <c r="G239">
        <f t="shared" si="50"/>
        <v>0.44499999999970896</v>
      </c>
      <c r="H239">
        <f t="shared" si="51"/>
        <v>111.83294999992685</v>
      </c>
      <c r="I239">
        <f t="shared" si="52"/>
        <v>0.49899999999615829</v>
      </c>
      <c r="J239">
        <f t="shared" si="53"/>
        <v>125.40368999903454</v>
      </c>
      <c r="K239">
        <f t="shared" si="54"/>
        <v>0.47100000000500586</v>
      </c>
      <c r="L239">
        <f t="shared" si="55"/>
        <v>118.36701000125802</v>
      </c>
      <c r="M239">
        <f t="shared" si="56"/>
        <v>0.40899999999965075</v>
      </c>
      <c r="N239">
        <f t="shared" si="57"/>
        <v>102.78578999991223</v>
      </c>
    </row>
    <row r="240" spans="1:14" x14ac:dyDescent="0.35">
      <c r="A240">
        <v>39878.184000000001</v>
      </c>
      <c r="B240">
        <v>39878.65</v>
      </c>
      <c r="C240">
        <v>39879.129999999997</v>
      </c>
      <c r="D240">
        <v>39879.61</v>
      </c>
      <c r="E240">
        <v>39880.008000000002</v>
      </c>
      <c r="G240">
        <f t="shared" si="50"/>
        <v>0.46600000000034925</v>
      </c>
      <c r="H240">
        <f t="shared" si="51"/>
        <v>117.11046000008777</v>
      </c>
      <c r="I240">
        <f t="shared" si="52"/>
        <v>0.47999999999592546</v>
      </c>
      <c r="J240">
        <f t="shared" si="53"/>
        <v>120.62879999897604</v>
      </c>
      <c r="K240">
        <f t="shared" si="54"/>
        <v>0.48000000000320142</v>
      </c>
      <c r="L240">
        <f t="shared" si="55"/>
        <v>120.62880000080455</v>
      </c>
      <c r="M240">
        <f t="shared" si="56"/>
        <v>0.39800000000104774</v>
      </c>
      <c r="N240">
        <f t="shared" si="57"/>
        <v>100.02138000026331</v>
      </c>
    </row>
    <row r="241" spans="1:14" x14ac:dyDescent="0.35">
      <c r="A241">
        <v>39879.271000000001</v>
      </c>
      <c r="B241">
        <v>39879.732000000004</v>
      </c>
      <c r="C241">
        <v>39880.222000000002</v>
      </c>
      <c r="D241">
        <v>39880.711000000003</v>
      </c>
      <c r="E241">
        <v>39881.099000000002</v>
      </c>
      <c r="G241">
        <f t="shared" si="50"/>
        <v>0.46100000000296859</v>
      </c>
      <c r="H241">
        <f t="shared" si="51"/>
        <v>115.85391000074604</v>
      </c>
      <c r="I241">
        <f t="shared" si="52"/>
        <v>0.48999999999796273</v>
      </c>
      <c r="J241">
        <f t="shared" si="53"/>
        <v>123.14189999948802</v>
      </c>
      <c r="K241">
        <f t="shared" si="54"/>
        <v>0.48900000000139698</v>
      </c>
      <c r="L241">
        <f t="shared" si="55"/>
        <v>122.89059000035108</v>
      </c>
      <c r="M241">
        <f t="shared" si="56"/>
        <v>0.38799999999901047</v>
      </c>
      <c r="N241">
        <f t="shared" si="57"/>
        <v>97.508279999751323</v>
      </c>
    </row>
    <row r="242" spans="1:14" x14ac:dyDescent="0.35">
      <c r="A242">
        <v>39880.358999999997</v>
      </c>
      <c r="B242">
        <v>39880.813999999998</v>
      </c>
      <c r="C242">
        <v>39881.313999999998</v>
      </c>
      <c r="D242">
        <v>39881.796999999999</v>
      </c>
      <c r="E242">
        <v>39882.180999999997</v>
      </c>
      <c r="G242">
        <f t="shared" si="50"/>
        <v>0.45500000000174623</v>
      </c>
      <c r="H242">
        <f t="shared" si="51"/>
        <v>114.34605000043885</v>
      </c>
      <c r="I242">
        <f t="shared" si="52"/>
        <v>0.5</v>
      </c>
      <c r="J242">
        <f t="shared" si="53"/>
        <v>125.655</v>
      </c>
      <c r="K242">
        <f t="shared" si="54"/>
        <v>0.48300000000017462</v>
      </c>
      <c r="L242">
        <f t="shared" si="55"/>
        <v>121.38273000004389</v>
      </c>
      <c r="M242">
        <f t="shared" si="56"/>
        <v>0.38399999999819556</v>
      </c>
      <c r="N242">
        <f t="shared" si="57"/>
        <v>96.50303999954653</v>
      </c>
    </row>
    <row r="243" spans="1:14" x14ac:dyDescent="0.35">
      <c r="A243">
        <v>39881.447</v>
      </c>
      <c r="B243">
        <v>39881.904000000002</v>
      </c>
      <c r="C243">
        <v>39882.396999999997</v>
      </c>
      <c r="D243">
        <v>39882.885999999999</v>
      </c>
      <c r="E243">
        <v>39883.269</v>
      </c>
      <c r="G243">
        <f t="shared" si="50"/>
        <v>0.45700000000215368</v>
      </c>
      <c r="H243">
        <f t="shared" si="51"/>
        <v>114.84867000054125</v>
      </c>
      <c r="I243">
        <f t="shared" si="52"/>
        <v>0.49299999999493593</v>
      </c>
      <c r="J243">
        <f t="shared" si="53"/>
        <v>123.89582999872735</v>
      </c>
      <c r="K243">
        <f t="shared" si="54"/>
        <v>0.48900000000139698</v>
      </c>
      <c r="L243">
        <f t="shared" si="55"/>
        <v>122.89059000035108</v>
      </c>
      <c r="M243">
        <f t="shared" si="56"/>
        <v>0.38300000000162981</v>
      </c>
      <c r="N243">
        <f t="shared" si="57"/>
        <v>96.251730000409594</v>
      </c>
    </row>
    <row r="244" spans="1:14" x14ac:dyDescent="0.35">
      <c r="A244">
        <v>39882.535000000003</v>
      </c>
      <c r="B244">
        <v>39883.008000000002</v>
      </c>
      <c r="C244">
        <v>39883.487999999998</v>
      </c>
      <c r="D244">
        <v>39883.968999999997</v>
      </c>
      <c r="E244">
        <v>39884.366000000002</v>
      </c>
      <c r="G244">
        <f t="shared" si="50"/>
        <v>0.47299999999813735</v>
      </c>
      <c r="H244">
        <f t="shared" si="51"/>
        <v>118.8696299995319</v>
      </c>
      <c r="I244">
        <f t="shared" si="52"/>
        <v>0.47999999999592546</v>
      </c>
      <c r="J244">
        <f t="shared" si="53"/>
        <v>120.62879999897604</v>
      </c>
      <c r="K244">
        <f t="shared" si="54"/>
        <v>0.48099999999976717</v>
      </c>
      <c r="L244">
        <f t="shared" si="55"/>
        <v>120.88010999994148</v>
      </c>
      <c r="M244">
        <f t="shared" si="56"/>
        <v>0.39700000000448199</v>
      </c>
      <c r="N244">
        <f t="shared" si="57"/>
        <v>99.770070001126371</v>
      </c>
    </row>
    <row r="245" spans="1:14" x14ac:dyDescent="0.35">
      <c r="A245">
        <v>39883.623</v>
      </c>
      <c r="B245">
        <v>39884.088000000003</v>
      </c>
      <c r="C245">
        <v>39884.57</v>
      </c>
      <c r="D245">
        <v>39885.06</v>
      </c>
      <c r="E245">
        <v>39885.445</v>
      </c>
      <c r="G245">
        <f t="shared" si="50"/>
        <v>0.4650000000037835</v>
      </c>
      <c r="H245">
        <f t="shared" si="51"/>
        <v>116.85915000095083</v>
      </c>
      <c r="I245">
        <f t="shared" si="52"/>
        <v>0.48199999999633292</v>
      </c>
      <c r="J245">
        <f t="shared" si="53"/>
        <v>121.13141999907843</v>
      </c>
      <c r="K245">
        <f t="shared" si="54"/>
        <v>0.48999999999796273</v>
      </c>
      <c r="L245">
        <f t="shared" si="55"/>
        <v>123.14189999948802</v>
      </c>
      <c r="M245">
        <f t="shared" si="56"/>
        <v>0.38500000000203727</v>
      </c>
      <c r="N245">
        <f t="shared" si="57"/>
        <v>96.754350000511991</v>
      </c>
    </row>
    <row r="246" spans="1:14" x14ac:dyDescent="0.35">
      <c r="A246">
        <v>39884.713000000003</v>
      </c>
      <c r="B246">
        <v>39885.18</v>
      </c>
      <c r="C246">
        <v>39885.661999999997</v>
      </c>
      <c r="D246">
        <v>39886.141000000003</v>
      </c>
      <c r="E246">
        <v>39886.538999999997</v>
      </c>
      <c r="G246">
        <f t="shared" si="50"/>
        <v>0.46699999999691499</v>
      </c>
      <c r="H246">
        <f t="shared" si="51"/>
        <v>117.36176999922471</v>
      </c>
      <c r="I246">
        <f t="shared" si="52"/>
        <v>0.48199999999633292</v>
      </c>
      <c r="J246">
        <f t="shared" si="53"/>
        <v>121.13141999907843</v>
      </c>
      <c r="K246">
        <f t="shared" si="54"/>
        <v>0.47900000000663567</v>
      </c>
      <c r="L246">
        <f t="shared" si="55"/>
        <v>120.37749000166761</v>
      </c>
      <c r="M246">
        <f t="shared" si="56"/>
        <v>0.39799999999377178</v>
      </c>
      <c r="N246">
        <f t="shared" si="57"/>
        <v>100.02137999843478</v>
      </c>
    </row>
    <row r="247" spans="1:14" x14ac:dyDescent="0.35">
      <c r="A247">
        <v>39885.800999999999</v>
      </c>
      <c r="B247">
        <v>39886.252999999997</v>
      </c>
      <c r="C247">
        <v>39886.752999999997</v>
      </c>
      <c r="D247">
        <v>39887.235000000001</v>
      </c>
      <c r="E247">
        <v>39887.627</v>
      </c>
      <c r="G247">
        <f t="shared" si="50"/>
        <v>0.45199999999749707</v>
      </c>
      <c r="H247">
        <f t="shared" si="51"/>
        <v>113.59211999937099</v>
      </c>
      <c r="I247">
        <f t="shared" si="52"/>
        <v>0.5</v>
      </c>
      <c r="J247">
        <f t="shared" si="53"/>
        <v>125.655</v>
      </c>
      <c r="K247">
        <f t="shared" si="54"/>
        <v>0.48200000000360887</v>
      </c>
      <c r="L247">
        <f t="shared" si="55"/>
        <v>121.13142000090694</v>
      </c>
      <c r="M247">
        <f t="shared" si="56"/>
        <v>0.39199999999982538</v>
      </c>
      <c r="N247">
        <f t="shared" si="57"/>
        <v>98.513519999956117</v>
      </c>
    </row>
    <row r="248" spans="1:14" x14ac:dyDescent="0.35">
      <c r="A248">
        <v>39886.889000000003</v>
      </c>
      <c r="B248">
        <v>39887.345000000001</v>
      </c>
      <c r="C248">
        <v>39887.837</v>
      </c>
      <c r="D248">
        <v>39888.317999999999</v>
      </c>
      <c r="E248">
        <v>39888.714</v>
      </c>
      <c r="G248">
        <f t="shared" si="50"/>
        <v>0.45599999999831198</v>
      </c>
      <c r="H248">
        <f t="shared" si="51"/>
        <v>114.59735999957579</v>
      </c>
      <c r="I248">
        <f t="shared" si="52"/>
        <v>0.49199999999837019</v>
      </c>
      <c r="J248">
        <f t="shared" si="53"/>
        <v>123.64451999959041</v>
      </c>
      <c r="K248">
        <f t="shared" si="54"/>
        <v>0.48099999999976717</v>
      </c>
      <c r="L248">
        <f t="shared" si="55"/>
        <v>120.88010999994148</v>
      </c>
      <c r="M248">
        <f t="shared" si="56"/>
        <v>0.39600000000064028</v>
      </c>
      <c r="N248">
        <f t="shared" si="57"/>
        <v>99.51876000016091</v>
      </c>
    </row>
    <row r="249" spans="1:14" x14ac:dyDescent="0.35">
      <c r="A249">
        <v>39887.976999999999</v>
      </c>
      <c r="B249">
        <v>39888.436999999998</v>
      </c>
      <c r="C249">
        <v>39888.928</v>
      </c>
      <c r="D249">
        <v>39889.398999999998</v>
      </c>
      <c r="E249">
        <v>39889.798000000003</v>
      </c>
      <c r="G249">
        <f t="shared" si="50"/>
        <v>0.45999999999912689</v>
      </c>
      <c r="H249">
        <f t="shared" si="51"/>
        <v>115.60259999978058</v>
      </c>
      <c r="I249">
        <f t="shared" si="52"/>
        <v>0.49100000000180444</v>
      </c>
      <c r="J249">
        <f t="shared" si="53"/>
        <v>123.39321000045348</v>
      </c>
      <c r="K249">
        <f t="shared" si="54"/>
        <v>0.4709999999977299</v>
      </c>
      <c r="L249">
        <f t="shared" si="55"/>
        <v>118.3670099994295</v>
      </c>
      <c r="M249">
        <f t="shared" si="56"/>
        <v>0.39900000000488944</v>
      </c>
      <c r="N249">
        <f t="shared" si="57"/>
        <v>100.27269000122877</v>
      </c>
    </row>
    <row r="250" spans="1:14" x14ac:dyDescent="0.35">
      <c r="A250">
        <v>39889.063999999998</v>
      </c>
      <c r="B250">
        <v>39889.517999999996</v>
      </c>
      <c r="C250">
        <v>39890.019999999997</v>
      </c>
      <c r="D250">
        <v>39890.49</v>
      </c>
      <c r="E250">
        <v>39890.887000000002</v>
      </c>
      <c r="G250">
        <f t="shared" si="50"/>
        <v>0.45399999999790452</v>
      </c>
      <c r="H250">
        <f t="shared" si="51"/>
        <v>114.09473999947339</v>
      </c>
      <c r="I250">
        <f t="shared" si="52"/>
        <v>0.50200000000040745</v>
      </c>
      <c r="J250">
        <f t="shared" si="53"/>
        <v>126.1576200001024</v>
      </c>
      <c r="K250">
        <f t="shared" si="54"/>
        <v>0.47000000000116415</v>
      </c>
      <c r="L250">
        <f t="shared" si="55"/>
        <v>118.11570000029256</v>
      </c>
      <c r="M250">
        <f t="shared" si="56"/>
        <v>0.39700000000448199</v>
      </c>
      <c r="N250">
        <f t="shared" si="57"/>
        <v>99.770070001126371</v>
      </c>
    </row>
    <row r="251" spans="1:14" x14ac:dyDescent="0.35">
      <c r="A251">
        <v>39890.152999999998</v>
      </c>
      <c r="B251">
        <v>39890.601000000002</v>
      </c>
      <c r="C251">
        <v>39891.101999999999</v>
      </c>
      <c r="D251">
        <v>39891.582000000002</v>
      </c>
      <c r="E251">
        <v>39891.968999999997</v>
      </c>
      <c r="G251">
        <f t="shared" si="50"/>
        <v>0.44800000000395812</v>
      </c>
      <c r="H251">
        <f t="shared" si="51"/>
        <v>112.58688000099471</v>
      </c>
      <c r="I251">
        <f t="shared" si="52"/>
        <v>0.50099999999656575</v>
      </c>
      <c r="J251">
        <f t="shared" si="53"/>
        <v>125.90630999913694</v>
      </c>
      <c r="K251">
        <f t="shared" si="54"/>
        <v>0.48000000000320142</v>
      </c>
      <c r="L251">
        <f t="shared" si="55"/>
        <v>120.62880000080455</v>
      </c>
      <c r="M251">
        <f t="shared" si="56"/>
        <v>0.38699999999516876</v>
      </c>
      <c r="N251">
        <f t="shared" si="57"/>
        <v>97.256969998785863</v>
      </c>
    </row>
    <row r="252" spans="1:14" x14ac:dyDescent="0.35">
      <c r="A252">
        <v>39891.239000000001</v>
      </c>
      <c r="B252">
        <v>39891.701999999997</v>
      </c>
      <c r="C252">
        <v>39892.184000000001</v>
      </c>
      <c r="D252">
        <v>39892.675000000003</v>
      </c>
      <c r="E252">
        <v>39893.059000000001</v>
      </c>
      <c r="G252">
        <f t="shared" si="50"/>
        <v>0.46299999999610009</v>
      </c>
      <c r="H252">
        <f t="shared" si="51"/>
        <v>116.35652999901991</v>
      </c>
      <c r="I252">
        <f t="shared" si="52"/>
        <v>0.48200000000360887</v>
      </c>
      <c r="J252">
        <f t="shared" si="53"/>
        <v>121.13142000090694</v>
      </c>
      <c r="K252">
        <f t="shared" si="54"/>
        <v>0.49100000000180444</v>
      </c>
      <c r="L252">
        <f t="shared" si="55"/>
        <v>123.39321000045348</v>
      </c>
      <c r="M252">
        <f t="shared" si="56"/>
        <v>0.38399999999819556</v>
      </c>
      <c r="N252">
        <f t="shared" si="57"/>
        <v>96.50303999954653</v>
      </c>
    </row>
    <row r="253" spans="1:14" x14ac:dyDescent="0.35">
      <c r="A253">
        <v>39892.326999999997</v>
      </c>
      <c r="B253">
        <v>39892.813999999998</v>
      </c>
      <c r="C253">
        <v>39893.273999999998</v>
      </c>
      <c r="D253">
        <v>39893.756999999998</v>
      </c>
      <c r="E253">
        <v>39894.144</v>
      </c>
      <c r="G253">
        <f t="shared" si="50"/>
        <v>0.48700000000098953</v>
      </c>
      <c r="H253">
        <f t="shared" si="51"/>
        <v>122.38797000024869</v>
      </c>
      <c r="I253">
        <f t="shared" si="52"/>
        <v>0.45999999999912689</v>
      </c>
      <c r="J253">
        <f t="shared" si="53"/>
        <v>115.60259999978058</v>
      </c>
      <c r="K253">
        <f t="shared" si="54"/>
        <v>0.48300000000017462</v>
      </c>
      <c r="L253">
        <f t="shared" si="55"/>
        <v>121.38273000004389</v>
      </c>
      <c r="M253">
        <f t="shared" si="56"/>
        <v>0.38700000000244472</v>
      </c>
      <c r="N253">
        <f t="shared" si="57"/>
        <v>97.256970000614388</v>
      </c>
    </row>
    <row r="254" spans="1:14" x14ac:dyDescent="0.35">
      <c r="A254">
        <v>39893.413999999997</v>
      </c>
      <c r="B254">
        <v>39893.858</v>
      </c>
      <c r="C254">
        <v>39894.358</v>
      </c>
      <c r="D254">
        <v>39894.837</v>
      </c>
      <c r="E254">
        <v>39895.226999999999</v>
      </c>
      <c r="G254">
        <f t="shared" si="50"/>
        <v>0.44400000000314321</v>
      </c>
      <c r="H254">
        <f t="shared" si="51"/>
        <v>111.58164000078992</v>
      </c>
      <c r="I254">
        <f t="shared" si="52"/>
        <v>0.5</v>
      </c>
      <c r="J254">
        <f t="shared" si="53"/>
        <v>125.655</v>
      </c>
      <c r="K254">
        <f t="shared" si="54"/>
        <v>0.47899999999935972</v>
      </c>
      <c r="L254">
        <f t="shared" si="55"/>
        <v>120.37748999983909</v>
      </c>
      <c r="M254">
        <f t="shared" si="56"/>
        <v>0.38999999999941792</v>
      </c>
      <c r="N254">
        <f t="shared" si="57"/>
        <v>98.01089999985372</v>
      </c>
    </row>
    <row r="255" spans="1:14" x14ac:dyDescent="0.35">
      <c r="A255">
        <v>39907.254999999997</v>
      </c>
      <c r="B255">
        <v>39908.177000000003</v>
      </c>
      <c r="C255">
        <v>39909.334999999999</v>
      </c>
      <c r="D255">
        <v>39910.425000000003</v>
      </c>
      <c r="E255">
        <v>39911.32</v>
      </c>
      <c r="G255">
        <f t="shared" si="50"/>
        <v>0.92200000000593718</v>
      </c>
      <c r="H255">
        <f>G255*110.06</f>
        <v>101.47532000065345</v>
      </c>
      <c r="I255">
        <f t="shared" si="52"/>
        <v>1.157999999995809</v>
      </c>
      <c r="J255">
        <f>I255*110.06</f>
        <v>127.44947999953875</v>
      </c>
      <c r="K255">
        <f t="shared" si="54"/>
        <v>1.0900000000037835</v>
      </c>
      <c r="L255">
        <f>K255*110.06</f>
        <v>119.96540000041641</v>
      </c>
      <c r="M255">
        <f t="shared" si="56"/>
        <v>0.89499999999679858</v>
      </c>
      <c r="N255">
        <f>M255*110.06</f>
        <v>98.503699999647651</v>
      </c>
    </row>
    <row r="256" spans="1:14" x14ac:dyDescent="0.35">
      <c r="A256">
        <v>39926.616000000002</v>
      </c>
      <c r="B256">
        <v>39927.067999999999</v>
      </c>
      <c r="C256">
        <v>39927.567000000003</v>
      </c>
      <c r="D256">
        <v>39928.048000000003</v>
      </c>
      <c r="E256">
        <v>39928.44</v>
      </c>
      <c r="G256">
        <f t="shared" si="50"/>
        <v>0.45199999999749707</v>
      </c>
      <c r="H256">
        <f t="shared" si="51"/>
        <v>113.59211999937099</v>
      </c>
      <c r="I256">
        <f t="shared" si="52"/>
        <v>0.49900000000343425</v>
      </c>
      <c r="J256">
        <f t="shared" si="53"/>
        <v>125.40369000086307</v>
      </c>
      <c r="K256">
        <f t="shared" si="54"/>
        <v>0.48099999999976717</v>
      </c>
      <c r="L256">
        <f t="shared" si="55"/>
        <v>120.88010999994148</v>
      </c>
      <c r="M256">
        <f t="shared" si="56"/>
        <v>0.39199999999982538</v>
      </c>
      <c r="N256">
        <f t="shared" si="57"/>
        <v>98.513519999956117</v>
      </c>
    </row>
    <row r="257" spans="1:14" x14ac:dyDescent="0.35">
      <c r="A257">
        <v>39930.055999999997</v>
      </c>
      <c r="B257">
        <v>39930.500999999997</v>
      </c>
      <c r="C257">
        <v>39931</v>
      </c>
      <c r="D257">
        <v>39931.480000000003</v>
      </c>
      <c r="E257">
        <v>39931.868000000002</v>
      </c>
      <c r="G257">
        <f t="shared" si="50"/>
        <v>0.44499999999970896</v>
      </c>
      <c r="H257">
        <f t="shared" si="51"/>
        <v>111.83294999992685</v>
      </c>
      <c r="I257">
        <f t="shared" si="52"/>
        <v>0.49900000000343425</v>
      </c>
      <c r="J257">
        <f t="shared" si="53"/>
        <v>125.40369000086307</v>
      </c>
      <c r="K257">
        <f t="shared" si="54"/>
        <v>0.48000000000320142</v>
      </c>
      <c r="L257">
        <f t="shared" si="55"/>
        <v>120.62880000080455</v>
      </c>
      <c r="M257">
        <f t="shared" si="56"/>
        <v>0.38799999999901047</v>
      </c>
      <c r="N257">
        <f t="shared" si="57"/>
        <v>97.508279999751323</v>
      </c>
    </row>
    <row r="258" spans="1:14" x14ac:dyDescent="0.35">
      <c r="A258">
        <v>40853.39</v>
      </c>
      <c r="B258">
        <v>40853.837</v>
      </c>
      <c r="C258">
        <v>40854.338000000003</v>
      </c>
      <c r="D258">
        <v>40854.819000000003</v>
      </c>
      <c r="E258">
        <v>40855.212</v>
      </c>
      <c r="G258">
        <f t="shared" si="50"/>
        <v>0.44700000000011642</v>
      </c>
      <c r="H258">
        <f t="shared" si="51"/>
        <v>112.33557000002926</v>
      </c>
      <c r="I258">
        <f t="shared" si="52"/>
        <v>0.50100000000384171</v>
      </c>
      <c r="J258">
        <f t="shared" si="53"/>
        <v>125.90631000096546</v>
      </c>
      <c r="K258">
        <f t="shared" si="54"/>
        <v>0.48099999999976717</v>
      </c>
      <c r="L258">
        <f t="shared" si="55"/>
        <v>120.88010999994148</v>
      </c>
      <c r="M258">
        <f t="shared" si="56"/>
        <v>0.39299999999639113</v>
      </c>
      <c r="N258">
        <f t="shared" si="57"/>
        <v>98.764829999093052</v>
      </c>
    </row>
    <row r="259" spans="1:14" x14ac:dyDescent="0.35">
      <c r="A259">
        <v>40854.478999999999</v>
      </c>
      <c r="B259">
        <v>40854.93</v>
      </c>
      <c r="C259">
        <v>40855.43</v>
      </c>
      <c r="D259">
        <v>40855.9</v>
      </c>
      <c r="E259">
        <v>40856.298999999999</v>
      </c>
      <c r="G259">
        <f t="shared" si="50"/>
        <v>0.45100000000093132</v>
      </c>
      <c r="H259">
        <f t="shared" si="51"/>
        <v>113.34081000023406</v>
      </c>
      <c r="I259">
        <f t="shared" si="52"/>
        <v>0.5</v>
      </c>
      <c r="J259">
        <f t="shared" si="53"/>
        <v>125.655</v>
      </c>
      <c r="K259">
        <f t="shared" si="54"/>
        <v>0.47000000000116415</v>
      </c>
      <c r="L259">
        <f t="shared" si="55"/>
        <v>118.11570000029256</v>
      </c>
      <c r="M259">
        <f t="shared" si="56"/>
        <v>0.39899999999761349</v>
      </c>
      <c r="N259">
        <f t="shared" si="57"/>
        <v>100.27268999940024</v>
      </c>
    </row>
    <row r="260" spans="1:14" x14ac:dyDescent="0.35">
      <c r="A260">
        <v>40855.567000000003</v>
      </c>
      <c r="B260">
        <v>40856.012999999999</v>
      </c>
      <c r="C260">
        <v>40856.512999999999</v>
      </c>
      <c r="D260">
        <v>40856.983</v>
      </c>
      <c r="E260">
        <v>40857.389000000003</v>
      </c>
      <c r="G260">
        <f t="shared" ref="G260:G323" si="58">B260-A260</f>
        <v>0.44599999999627471</v>
      </c>
      <c r="H260">
        <f t="shared" ref="H260:H323" si="59">G260*251.31</f>
        <v>112.0842599990638</v>
      </c>
      <c r="I260">
        <f t="shared" ref="I260:I323" si="60">C260-B260</f>
        <v>0.5</v>
      </c>
      <c r="J260">
        <f t="shared" ref="J260:J323" si="61">I260*251.31</f>
        <v>125.655</v>
      </c>
      <c r="K260">
        <f t="shared" ref="K260:K323" si="62">D260-C260</f>
        <v>0.47000000000116415</v>
      </c>
      <c r="L260">
        <f t="shared" ref="L260:L323" si="63">K260*251.31</f>
        <v>118.11570000029256</v>
      </c>
      <c r="M260">
        <f t="shared" ref="M260:M323" si="64">E260-D260</f>
        <v>0.40600000000267755</v>
      </c>
      <c r="N260">
        <f t="shared" ref="N260:N323" si="65">M260*251.31</f>
        <v>102.03186000067289</v>
      </c>
    </row>
    <row r="261" spans="1:14" x14ac:dyDescent="0.35">
      <c r="A261">
        <v>40856.654000000002</v>
      </c>
      <c r="B261">
        <v>40857.103000000003</v>
      </c>
      <c r="C261">
        <v>40857.603999999999</v>
      </c>
      <c r="D261">
        <v>40858.086000000003</v>
      </c>
      <c r="E261">
        <v>40858.476999999999</v>
      </c>
      <c r="G261">
        <f t="shared" si="58"/>
        <v>0.44900000000052387</v>
      </c>
      <c r="H261">
        <f t="shared" si="59"/>
        <v>112.83819000013166</v>
      </c>
      <c r="I261">
        <f t="shared" si="60"/>
        <v>0.50099999999656575</v>
      </c>
      <c r="J261">
        <f t="shared" si="61"/>
        <v>125.90630999913694</v>
      </c>
      <c r="K261">
        <f t="shared" si="62"/>
        <v>0.48200000000360887</v>
      </c>
      <c r="L261">
        <f t="shared" si="63"/>
        <v>121.13142000090694</v>
      </c>
      <c r="M261">
        <f t="shared" si="64"/>
        <v>0.39099999999598367</v>
      </c>
      <c r="N261">
        <f t="shared" si="65"/>
        <v>98.262209998990656</v>
      </c>
    </row>
    <row r="262" spans="1:14" x14ac:dyDescent="0.35">
      <c r="A262">
        <v>40857.743000000002</v>
      </c>
      <c r="B262">
        <v>40858.205999999998</v>
      </c>
      <c r="C262">
        <v>40858.686999999998</v>
      </c>
      <c r="D262">
        <v>40859.178</v>
      </c>
      <c r="E262">
        <v>40859.565000000002</v>
      </c>
      <c r="G262">
        <f t="shared" si="58"/>
        <v>0.46299999999610009</v>
      </c>
      <c r="H262">
        <f t="shared" si="59"/>
        <v>116.35652999901991</v>
      </c>
      <c r="I262">
        <f t="shared" si="60"/>
        <v>0.48099999999976717</v>
      </c>
      <c r="J262">
        <f t="shared" si="61"/>
        <v>120.88010999994148</v>
      </c>
      <c r="K262">
        <f t="shared" si="62"/>
        <v>0.49100000000180444</v>
      </c>
      <c r="L262">
        <f t="shared" si="63"/>
        <v>123.39321000045348</v>
      </c>
      <c r="M262">
        <f t="shared" si="64"/>
        <v>0.38700000000244472</v>
      </c>
      <c r="N262">
        <f t="shared" si="65"/>
        <v>97.256970000614388</v>
      </c>
    </row>
    <row r="263" spans="1:14" x14ac:dyDescent="0.35">
      <c r="A263">
        <v>40858.828999999998</v>
      </c>
      <c r="B263">
        <v>40859.298000000003</v>
      </c>
      <c r="C263">
        <v>40859.796999999999</v>
      </c>
      <c r="D263">
        <v>40860.269</v>
      </c>
      <c r="E263">
        <v>40860.654000000002</v>
      </c>
      <c r="G263">
        <f t="shared" si="58"/>
        <v>0.46900000000459841</v>
      </c>
      <c r="H263">
        <f t="shared" si="59"/>
        <v>117.86439000115563</v>
      </c>
      <c r="I263">
        <f t="shared" si="60"/>
        <v>0.49899999999615829</v>
      </c>
      <c r="J263">
        <f t="shared" si="61"/>
        <v>125.40368999903454</v>
      </c>
      <c r="K263">
        <f t="shared" si="62"/>
        <v>0.47200000000157161</v>
      </c>
      <c r="L263">
        <f t="shared" si="63"/>
        <v>118.61832000039496</v>
      </c>
      <c r="M263">
        <f t="shared" si="64"/>
        <v>0.38500000000203727</v>
      </c>
      <c r="N263">
        <f t="shared" si="65"/>
        <v>96.754350000511991</v>
      </c>
    </row>
    <row r="264" spans="1:14" x14ac:dyDescent="0.35">
      <c r="A264">
        <v>40859.917999999998</v>
      </c>
      <c r="B264">
        <v>40860.389000000003</v>
      </c>
      <c r="C264">
        <v>40860.870000000003</v>
      </c>
      <c r="D264">
        <v>40861.351999999999</v>
      </c>
      <c r="E264">
        <v>40861.749000000003</v>
      </c>
      <c r="G264">
        <f t="shared" si="58"/>
        <v>0.47100000000500586</v>
      </c>
      <c r="H264">
        <f t="shared" si="59"/>
        <v>118.36701000125802</v>
      </c>
      <c r="I264">
        <f t="shared" si="60"/>
        <v>0.48099999999976717</v>
      </c>
      <c r="J264">
        <f t="shared" si="61"/>
        <v>120.88010999994148</v>
      </c>
      <c r="K264">
        <f t="shared" si="62"/>
        <v>0.48199999999633292</v>
      </c>
      <c r="L264">
        <f t="shared" si="63"/>
        <v>121.13141999907843</v>
      </c>
      <c r="M264">
        <f t="shared" si="64"/>
        <v>0.39700000000448199</v>
      </c>
      <c r="N264">
        <f t="shared" si="65"/>
        <v>99.770070001126371</v>
      </c>
    </row>
    <row r="265" spans="1:14" x14ac:dyDescent="0.35">
      <c r="A265">
        <v>40861.004999999997</v>
      </c>
      <c r="B265">
        <v>40861.453000000001</v>
      </c>
      <c r="C265">
        <v>40861.951999999997</v>
      </c>
      <c r="D265">
        <v>40862.423000000003</v>
      </c>
      <c r="E265">
        <v>40862.826999999997</v>
      </c>
      <c r="G265">
        <f t="shared" si="58"/>
        <v>0.44800000000395812</v>
      </c>
      <c r="H265">
        <f t="shared" si="59"/>
        <v>112.58688000099471</v>
      </c>
      <c r="I265">
        <f t="shared" si="60"/>
        <v>0.49899999999615829</v>
      </c>
      <c r="J265">
        <f t="shared" si="61"/>
        <v>125.40368999903454</v>
      </c>
      <c r="K265">
        <f t="shared" si="62"/>
        <v>0.47100000000500586</v>
      </c>
      <c r="L265">
        <f t="shared" si="63"/>
        <v>118.36701000125802</v>
      </c>
      <c r="M265">
        <f t="shared" si="64"/>
        <v>0.40399999999499414</v>
      </c>
      <c r="N265">
        <f t="shared" si="65"/>
        <v>101.52923999874199</v>
      </c>
    </row>
    <row r="266" spans="1:14" x14ac:dyDescent="0.35">
      <c r="A266">
        <v>40862.093999999997</v>
      </c>
      <c r="B266">
        <v>40862.561999999998</v>
      </c>
      <c r="C266">
        <v>40863.044999999998</v>
      </c>
      <c r="D266">
        <v>40863.535000000003</v>
      </c>
      <c r="E266">
        <v>40863.921999999999</v>
      </c>
      <c r="G266">
        <f t="shared" si="58"/>
        <v>0.4680000000007567</v>
      </c>
      <c r="H266">
        <f t="shared" si="59"/>
        <v>117.61308000019017</v>
      </c>
      <c r="I266">
        <f t="shared" si="60"/>
        <v>0.48300000000017462</v>
      </c>
      <c r="J266">
        <f t="shared" si="61"/>
        <v>121.38273000004389</v>
      </c>
      <c r="K266">
        <f t="shared" si="62"/>
        <v>0.49000000000523869</v>
      </c>
      <c r="L266">
        <f t="shared" si="63"/>
        <v>123.14190000131654</v>
      </c>
      <c r="M266">
        <f t="shared" si="64"/>
        <v>0.38699999999516876</v>
      </c>
      <c r="N266">
        <f t="shared" si="65"/>
        <v>97.256969998785863</v>
      </c>
    </row>
    <row r="267" spans="1:14" x14ac:dyDescent="0.35">
      <c r="A267">
        <v>40863.182000000001</v>
      </c>
      <c r="B267">
        <v>40863.635999999999</v>
      </c>
      <c r="C267">
        <v>40864.127</v>
      </c>
      <c r="D267">
        <v>40864.608</v>
      </c>
      <c r="E267">
        <v>40865.006999999998</v>
      </c>
      <c r="G267">
        <f t="shared" si="58"/>
        <v>0.45399999999790452</v>
      </c>
      <c r="H267">
        <f t="shared" si="59"/>
        <v>114.09473999947339</v>
      </c>
      <c r="I267">
        <f t="shared" si="60"/>
        <v>0.49100000000180444</v>
      </c>
      <c r="J267">
        <f t="shared" si="61"/>
        <v>123.39321000045348</v>
      </c>
      <c r="K267">
        <f t="shared" si="62"/>
        <v>0.48099999999976717</v>
      </c>
      <c r="L267">
        <f t="shared" si="63"/>
        <v>120.88010999994148</v>
      </c>
      <c r="M267">
        <f t="shared" si="64"/>
        <v>0.39899999999761349</v>
      </c>
      <c r="N267">
        <f t="shared" si="65"/>
        <v>100.27268999940024</v>
      </c>
    </row>
    <row r="268" spans="1:14" x14ac:dyDescent="0.35">
      <c r="A268">
        <v>40864.271000000001</v>
      </c>
      <c r="B268">
        <v>40864.726000000002</v>
      </c>
      <c r="C268">
        <v>40865.226999999999</v>
      </c>
      <c r="D268">
        <v>40865.699000000001</v>
      </c>
      <c r="E268">
        <v>40866.095000000001</v>
      </c>
      <c r="G268">
        <f t="shared" si="58"/>
        <v>0.45500000000174623</v>
      </c>
      <c r="H268">
        <f t="shared" si="59"/>
        <v>114.34605000043885</v>
      </c>
      <c r="I268">
        <f t="shared" si="60"/>
        <v>0.50099999999656575</v>
      </c>
      <c r="J268">
        <f t="shared" si="61"/>
        <v>125.90630999913694</v>
      </c>
      <c r="K268">
        <f t="shared" si="62"/>
        <v>0.47200000000157161</v>
      </c>
      <c r="L268">
        <f t="shared" si="63"/>
        <v>118.61832000039496</v>
      </c>
      <c r="M268">
        <f t="shared" si="64"/>
        <v>0.39600000000064028</v>
      </c>
      <c r="N268">
        <f t="shared" si="65"/>
        <v>99.51876000016091</v>
      </c>
    </row>
    <row r="269" spans="1:14" x14ac:dyDescent="0.35">
      <c r="A269">
        <v>40865.357000000004</v>
      </c>
      <c r="B269">
        <v>40865.828999999998</v>
      </c>
      <c r="C269">
        <v>40866.300000000003</v>
      </c>
      <c r="D269">
        <v>40866.78</v>
      </c>
      <c r="E269">
        <v>40867.177000000003</v>
      </c>
      <c r="G269">
        <f t="shared" si="58"/>
        <v>0.47199999999429565</v>
      </c>
      <c r="H269">
        <f t="shared" si="59"/>
        <v>118.61831999856643</v>
      </c>
      <c r="I269">
        <f t="shared" si="60"/>
        <v>0.47100000000500586</v>
      </c>
      <c r="J269">
        <f t="shared" si="61"/>
        <v>118.36701000125802</v>
      </c>
      <c r="K269">
        <f t="shared" si="62"/>
        <v>0.47999999999592546</v>
      </c>
      <c r="L269">
        <f t="shared" si="63"/>
        <v>120.62879999897604</v>
      </c>
      <c r="M269">
        <f t="shared" si="64"/>
        <v>0.39700000000448199</v>
      </c>
      <c r="N269">
        <f t="shared" si="65"/>
        <v>99.770070001126371</v>
      </c>
    </row>
    <row r="270" spans="1:14" x14ac:dyDescent="0.35">
      <c r="A270">
        <v>40866.444000000003</v>
      </c>
      <c r="B270">
        <v>40866.913</v>
      </c>
      <c r="C270">
        <v>40867.392999999996</v>
      </c>
      <c r="D270">
        <v>40867.872000000003</v>
      </c>
      <c r="E270">
        <v>40868.269</v>
      </c>
      <c r="G270">
        <f t="shared" si="58"/>
        <v>0.46899999999732245</v>
      </c>
      <c r="H270">
        <f t="shared" si="59"/>
        <v>117.8643899993271</v>
      </c>
      <c r="I270">
        <f t="shared" si="60"/>
        <v>0.47999999999592546</v>
      </c>
      <c r="J270">
        <f t="shared" si="61"/>
        <v>120.62879999897604</v>
      </c>
      <c r="K270">
        <f t="shared" si="62"/>
        <v>0.47900000000663567</v>
      </c>
      <c r="L270">
        <f t="shared" si="63"/>
        <v>120.37749000166761</v>
      </c>
      <c r="M270">
        <f t="shared" si="64"/>
        <v>0.39699999999720603</v>
      </c>
      <c r="N270">
        <f t="shared" si="65"/>
        <v>99.770069999297846</v>
      </c>
    </row>
    <row r="271" spans="1:14" x14ac:dyDescent="0.35">
      <c r="A271">
        <v>40867.533000000003</v>
      </c>
      <c r="B271">
        <v>40868.002999999997</v>
      </c>
      <c r="C271">
        <v>40868.483</v>
      </c>
      <c r="D271">
        <v>40868.974000000002</v>
      </c>
      <c r="E271">
        <v>40869.358999999997</v>
      </c>
      <c r="G271">
        <f t="shared" si="58"/>
        <v>0.4699999999938882</v>
      </c>
      <c r="H271">
        <f t="shared" si="59"/>
        <v>118.11569999846404</v>
      </c>
      <c r="I271">
        <f t="shared" si="60"/>
        <v>0.48000000000320142</v>
      </c>
      <c r="J271">
        <f t="shared" si="61"/>
        <v>120.62880000080455</v>
      </c>
      <c r="K271">
        <f t="shared" si="62"/>
        <v>0.49100000000180444</v>
      </c>
      <c r="L271">
        <f t="shared" si="63"/>
        <v>123.39321000045348</v>
      </c>
      <c r="M271">
        <f t="shared" si="64"/>
        <v>0.38499999999476131</v>
      </c>
      <c r="N271">
        <f t="shared" si="65"/>
        <v>96.754349998683466</v>
      </c>
    </row>
    <row r="272" spans="1:14" x14ac:dyDescent="0.35">
      <c r="A272">
        <v>40868.620000000003</v>
      </c>
      <c r="B272">
        <v>40869.087</v>
      </c>
      <c r="C272">
        <v>40869.565000000002</v>
      </c>
      <c r="D272">
        <v>40870.038</v>
      </c>
      <c r="E272">
        <v>40870.415000000001</v>
      </c>
      <c r="G272">
        <f t="shared" si="58"/>
        <v>0.46699999999691499</v>
      </c>
      <c r="H272">
        <f t="shared" si="59"/>
        <v>117.36176999922471</v>
      </c>
      <c r="I272">
        <f t="shared" si="60"/>
        <v>0.47800000000279397</v>
      </c>
      <c r="J272">
        <f t="shared" si="61"/>
        <v>120.12618000070215</v>
      </c>
      <c r="K272">
        <f t="shared" si="62"/>
        <v>0.47299999999813735</v>
      </c>
      <c r="L272">
        <f t="shared" si="63"/>
        <v>118.8696299995319</v>
      </c>
      <c r="M272">
        <f t="shared" ref="M272" si="66">E272-D272</f>
        <v>0.37700000000040745</v>
      </c>
      <c r="N272">
        <f t="shared" si="65"/>
        <v>94.743870000102405</v>
      </c>
    </row>
    <row r="273" spans="1:14" x14ac:dyDescent="0.35">
      <c r="A273">
        <v>40869.707000000002</v>
      </c>
      <c r="B273">
        <v>40870.156999999999</v>
      </c>
      <c r="C273">
        <v>40870.659</v>
      </c>
      <c r="D273">
        <v>40871.131999999998</v>
      </c>
      <c r="E273">
        <v>40871.53</v>
      </c>
      <c r="G273">
        <f t="shared" si="58"/>
        <v>0.44999999999708962</v>
      </c>
      <c r="H273">
        <f t="shared" si="59"/>
        <v>113.0894999992686</v>
      </c>
      <c r="I273">
        <f t="shared" si="60"/>
        <v>0.50200000000040745</v>
      </c>
      <c r="J273">
        <f t="shared" si="61"/>
        <v>126.1576200001024</v>
      </c>
      <c r="K273">
        <f t="shared" si="62"/>
        <v>0.47299999999813735</v>
      </c>
      <c r="L273">
        <f t="shared" si="63"/>
        <v>118.8696299995319</v>
      </c>
      <c r="M273">
        <f t="shared" si="64"/>
        <v>0.39800000000104774</v>
      </c>
      <c r="N273">
        <f t="shared" si="65"/>
        <v>100.02138000026331</v>
      </c>
    </row>
    <row r="274" spans="1:14" x14ac:dyDescent="0.35">
      <c r="A274">
        <v>40870.794999999998</v>
      </c>
      <c r="B274">
        <v>40871.269</v>
      </c>
      <c r="C274">
        <v>40871.75</v>
      </c>
      <c r="D274">
        <v>40872.220999999998</v>
      </c>
      <c r="E274">
        <v>40872.620000000003</v>
      </c>
      <c r="G274">
        <f t="shared" si="58"/>
        <v>0.47400000000197906</v>
      </c>
      <c r="H274">
        <f t="shared" si="59"/>
        <v>119.12094000049736</v>
      </c>
      <c r="I274">
        <f t="shared" si="60"/>
        <v>0.48099999999976717</v>
      </c>
      <c r="J274">
        <f t="shared" si="61"/>
        <v>120.88010999994148</v>
      </c>
      <c r="K274">
        <f t="shared" si="62"/>
        <v>0.4709999999977299</v>
      </c>
      <c r="L274">
        <f t="shared" si="63"/>
        <v>118.3670099994295</v>
      </c>
      <c r="M274">
        <f t="shared" si="64"/>
        <v>0.39900000000488944</v>
      </c>
      <c r="N274">
        <f t="shared" si="65"/>
        <v>100.27269000122877</v>
      </c>
    </row>
    <row r="275" spans="1:14" x14ac:dyDescent="0.35">
      <c r="A275">
        <v>40871.883000000002</v>
      </c>
      <c r="B275">
        <v>40872.341</v>
      </c>
      <c r="C275">
        <v>40872.834000000003</v>
      </c>
      <c r="D275">
        <v>40873.311999999998</v>
      </c>
      <c r="E275">
        <v>40873.703999999998</v>
      </c>
      <c r="G275">
        <f t="shared" si="58"/>
        <v>0.45799999999871943</v>
      </c>
      <c r="H275">
        <f t="shared" si="59"/>
        <v>115.09997999967818</v>
      </c>
      <c r="I275">
        <f t="shared" si="60"/>
        <v>0.49300000000221189</v>
      </c>
      <c r="J275">
        <f t="shared" si="61"/>
        <v>123.89583000055588</v>
      </c>
      <c r="K275">
        <f t="shared" si="62"/>
        <v>0.47799999999551801</v>
      </c>
      <c r="L275">
        <f t="shared" si="63"/>
        <v>120.12617999887364</v>
      </c>
      <c r="M275">
        <f t="shared" si="64"/>
        <v>0.39199999999982538</v>
      </c>
      <c r="N275">
        <f t="shared" si="65"/>
        <v>98.513519999956117</v>
      </c>
    </row>
    <row r="276" spans="1:14" x14ac:dyDescent="0.35">
      <c r="A276">
        <v>40872.972000000002</v>
      </c>
      <c r="B276">
        <v>40873.432999999997</v>
      </c>
      <c r="C276">
        <v>40873.934999999998</v>
      </c>
      <c r="D276">
        <v>40874.404999999999</v>
      </c>
      <c r="E276">
        <v>40874.809000000001</v>
      </c>
      <c r="G276">
        <f t="shared" si="58"/>
        <v>0.46099999999569263</v>
      </c>
      <c r="H276">
        <f t="shared" si="59"/>
        <v>115.85390999891752</v>
      </c>
      <c r="I276">
        <f t="shared" si="60"/>
        <v>0.50200000000040745</v>
      </c>
      <c r="J276">
        <f t="shared" si="61"/>
        <v>126.1576200001024</v>
      </c>
      <c r="K276">
        <f t="shared" si="62"/>
        <v>0.47000000000116415</v>
      </c>
      <c r="L276">
        <f t="shared" si="63"/>
        <v>118.11570000029256</v>
      </c>
      <c r="M276">
        <f t="shared" si="64"/>
        <v>0.4040000000022701</v>
      </c>
      <c r="N276">
        <f t="shared" si="65"/>
        <v>101.5292400005705</v>
      </c>
    </row>
    <row r="277" spans="1:14" x14ac:dyDescent="0.35">
      <c r="A277">
        <v>40874.06</v>
      </c>
      <c r="B277">
        <v>40874.506999999998</v>
      </c>
      <c r="C277">
        <v>40875.004999999997</v>
      </c>
      <c r="D277">
        <v>40875.487999999998</v>
      </c>
      <c r="E277">
        <v>40875.875</v>
      </c>
      <c r="G277">
        <f t="shared" si="58"/>
        <v>0.44700000000011642</v>
      </c>
      <c r="H277">
        <f t="shared" si="59"/>
        <v>112.33557000002926</v>
      </c>
      <c r="I277">
        <f t="shared" si="60"/>
        <v>0.49799999999959255</v>
      </c>
      <c r="J277">
        <f t="shared" si="61"/>
        <v>125.1523799998976</v>
      </c>
      <c r="K277">
        <f t="shared" si="62"/>
        <v>0.48300000000017462</v>
      </c>
      <c r="L277">
        <f t="shared" si="63"/>
        <v>121.38273000004389</v>
      </c>
      <c r="M277">
        <f t="shared" si="64"/>
        <v>0.38700000000244472</v>
      </c>
      <c r="N277">
        <f t="shared" si="65"/>
        <v>97.256970000614388</v>
      </c>
    </row>
    <row r="278" spans="1:14" x14ac:dyDescent="0.35">
      <c r="A278">
        <v>40875.148999999998</v>
      </c>
      <c r="B278">
        <v>40875.618000000002</v>
      </c>
      <c r="C278">
        <v>40876.097000000002</v>
      </c>
      <c r="D278">
        <v>40876.589</v>
      </c>
      <c r="E278">
        <v>40876.976999999999</v>
      </c>
      <c r="G278">
        <f t="shared" si="58"/>
        <v>0.46900000000459841</v>
      </c>
      <c r="H278">
        <f t="shared" si="59"/>
        <v>117.86439000115563</v>
      </c>
      <c r="I278">
        <f t="shared" si="60"/>
        <v>0.47899999999935972</v>
      </c>
      <c r="J278">
        <f t="shared" si="61"/>
        <v>120.37748999983909</v>
      </c>
      <c r="K278">
        <f t="shared" si="62"/>
        <v>0.49199999999837019</v>
      </c>
      <c r="L278">
        <f t="shared" si="63"/>
        <v>123.64451999959041</v>
      </c>
      <c r="M278">
        <f t="shared" si="64"/>
        <v>0.38799999999901047</v>
      </c>
      <c r="N278">
        <f t="shared" si="65"/>
        <v>97.508279999751323</v>
      </c>
    </row>
    <row r="279" spans="1:14" x14ac:dyDescent="0.35">
      <c r="A279">
        <v>40876.237000000001</v>
      </c>
      <c r="B279">
        <v>40876.709000000003</v>
      </c>
      <c r="C279">
        <v>40877.19</v>
      </c>
      <c r="D279">
        <v>40877.671999999999</v>
      </c>
      <c r="E279">
        <v>40878.065000000002</v>
      </c>
      <c r="G279">
        <f t="shared" si="58"/>
        <v>0.47200000000157161</v>
      </c>
      <c r="H279">
        <f t="shared" si="59"/>
        <v>118.61832000039496</v>
      </c>
      <c r="I279">
        <f t="shared" si="60"/>
        <v>0.48099999999976717</v>
      </c>
      <c r="J279">
        <f t="shared" si="61"/>
        <v>120.88010999994148</v>
      </c>
      <c r="K279">
        <f t="shared" si="62"/>
        <v>0.48199999999633292</v>
      </c>
      <c r="L279">
        <f t="shared" si="63"/>
        <v>121.13141999907843</v>
      </c>
      <c r="M279">
        <f t="shared" si="64"/>
        <v>0.39300000000366708</v>
      </c>
      <c r="N279">
        <f t="shared" si="65"/>
        <v>98.764830000921577</v>
      </c>
    </row>
    <row r="280" spans="1:14" x14ac:dyDescent="0.35">
      <c r="A280">
        <v>40877.324999999997</v>
      </c>
      <c r="B280">
        <v>40877.792000000001</v>
      </c>
      <c r="C280">
        <v>40878.271999999997</v>
      </c>
      <c r="D280">
        <v>40878.754000000001</v>
      </c>
      <c r="E280">
        <v>40879.15</v>
      </c>
      <c r="G280">
        <f t="shared" si="58"/>
        <v>0.46700000000419095</v>
      </c>
      <c r="H280">
        <f t="shared" si="59"/>
        <v>117.36177000105323</v>
      </c>
      <c r="I280">
        <f t="shared" si="60"/>
        <v>0.47999999999592546</v>
      </c>
      <c r="J280">
        <f t="shared" si="61"/>
        <v>120.62879999897604</v>
      </c>
      <c r="K280">
        <f t="shared" si="62"/>
        <v>0.48200000000360887</v>
      </c>
      <c r="L280">
        <f t="shared" si="63"/>
        <v>121.13142000090694</v>
      </c>
      <c r="M280">
        <f t="shared" si="64"/>
        <v>0.39600000000064028</v>
      </c>
      <c r="N280">
        <f t="shared" si="65"/>
        <v>99.51876000016091</v>
      </c>
    </row>
    <row r="281" spans="1:14" x14ac:dyDescent="0.35">
      <c r="A281">
        <v>40878.411</v>
      </c>
      <c r="B281">
        <v>40878.862999999998</v>
      </c>
      <c r="C281">
        <v>40879.364999999998</v>
      </c>
      <c r="D281">
        <v>40879.855000000003</v>
      </c>
      <c r="E281">
        <v>40880.237000000001</v>
      </c>
      <c r="G281">
        <f t="shared" si="58"/>
        <v>0.45199999999749707</v>
      </c>
      <c r="H281">
        <f t="shared" si="59"/>
        <v>113.59211999937099</v>
      </c>
      <c r="I281">
        <f t="shared" si="60"/>
        <v>0.50200000000040745</v>
      </c>
      <c r="J281">
        <f t="shared" si="61"/>
        <v>126.1576200001024</v>
      </c>
      <c r="K281">
        <f t="shared" si="62"/>
        <v>0.49000000000523869</v>
      </c>
      <c r="L281">
        <f t="shared" si="63"/>
        <v>123.14190000131654</v>
      </c>
      <c r="M281">
        <f t="shared" si="64"/>
        <v>0.38199999999778811</v>
      </c>
      <c r="N281">
        <f t="shared" si="65"/>
        <v>96.000419999444134</v>
      </c>
    </row>
    <row r="282" spans="1:14" x14ac:dyDescent="0.35">
      <c r="A282">
        <v>40879.5</v>
      </c>
      <c r="B282">
        <v>40879.955000000002</v>
      </c>
      <c r="C282">
        <v>40880.457999999999</v>
      </c>
      <c r="D282">
        <v>40880.927000000003</v>
      </c>
      <c r="E282">
        <v>40881.322999999997</v>
      </c>
      <c r="G282">
        <f t="shared" si="58"/>
        <v>0.45500000000174623</v>
      </c>
      <c r="H282">
        <f t="shared" si="59"/>
        <v>114.34605000043885</v>
      </c>
      <c r="I282">
        <f t="shared" si="60"/>
        <v>0.5029999999969732</v>
      </c>
      <c r="J282">
        <f t="shared" si="61"/>
        <v>126.40892999923933</v>
      </c>
      <c r="K282">
        <f t="shared" si="62"/>
        <v>0.46900000000459841</v>
      </c>
      <c r="L282">
        <f t="shared" si="63"/>
        <v>117.86439000115563</v>
      </c>
      <c r="M282">
        <f t="shared" si="64"/>
        <v>0.39599999999336433</v>
      </c>
      <c r="N282">
        <f t="shared" si="65"/>
        <v>99.518759998332385</v>
      </c>
    </row>
    <row r="283" spans="1:14" x14ac:dyDescent="0.35">
      <c r="A283">
        <v>40880.589999999997</v>
      </c>
      <c r="B283">
        <v>40881.038</v>
      </c>
      <c r="C283">
        <v>40881.538999999997</v>
      </c>
      <c r="D283">
        <v>40882.008999999998</v>
      </c>
      <c r="E283">
        <v>40882.415000000001</v>
      </c>
      <c r="G283">
        <f t="shared" si="58"/>
        <v>0.44800000000395812</v>
      </c>
      <c r="H283">
        <f t="shared" si="59"/>
        <v>112.58688000099471</v>
      </c>
      <c r="I283">
        <f t="shared" si="60"/>
        <v>0.50099999999656575</v>
      </c>
      <c r="J283">
        <f t="shared" si="61"/>
        <v>125.90630999913694</v>
      </c>
      <c r="K283">
        <f t="shared" si="62"/>
        <v>0.47000000000116415</v>
      </c>
      <c r="L283">
        <f t="shared" si="63"/>
        <v>118.11570000029256</v>
      </c>
      <c r="M283">
        <f t="shared" si="64"/>
        <v>0.40600000000267755</v>
      </c>
      <c r="N283">
        <f t="shared" si="65"/>
        <v>102.03186000067289</v>
      </c>
    </row>
    <row r="284" spans="1:14" x14ac:dyDescent="0.35">
      <c r="A284">
        <v>40881.678999999996</v>
      </c>
      <c r="B284">
        <v>40882.127999999997</v>
      </c>
      <c r="C284">
        <v>40882.629000000001</v>
      </c>
      <c r="D284">
        <v>40883.112000000001</v>
      </c>
      <c r="E284">
        <v>40883.504000000001</v>
      </c>
      <c r="G284">
        <f t="shared" si="58"/>
        <v>0.44900000000052387</v>
      </c>
      <c r="H284">
        <f t="shared" si="59"/>
        <v>112.83819000013166</v>
      </c>
      <c r="I284">
        <f t="shared" si="60"/>
        <v>0.50100000000384171</v>
      </c>
      <c r="J284">
        <f t="shared" si="61"/>
        <v>125.90631000096546</v>
      </c>
      <c r="K284">
        <f t="shared" si="62"/>
        <v>0.48300000000017462</v>
      </c>
      <c r="L284">
        <f t="shared" si="63"/>
        <v>121.38273000004389</v>
      </c>
      <c r="M284">
        <f t="shared" si="64"/>
        <v>0.39199999999982538</v>
      </c>
      <c r="N284">
        <f t="shared" si="65"/>
        <v>98.513519999956117</v>
      </c>
    </row>
    <row r="285" spans="1:14" x14ac:dyDescent="0.35">
      <c r="A285">
        <v>40882.767</v>
      </c>
      <c r="B285">
        <v>40883.212</v>
      </c>
      <c r="C285">
        <v>40883.722999999998</v>
      </c>
      <c r="D285">
        <v>40884.194000000003</v>
      </c>
      <c r="E285">
        <v>40884.589</v>
      </c>
      <c r="G285">
        <f t="shared" si="58"/>
        <v>0.44499999999970896</v>
      </c>
      <c r="H285">
        <f t="shared" si="59"/>
        <v>111.83294999992685</v>
      </c>
      <c r="I285">
        <f t="shared" si="60"/>
        <v>0.51099999999860302</v>
      </c>
      <c r="J285">
        <f t="shared" si="61"/>
        <v>128.41940999964893</v>
      </c>
      <c r="K285">
        <f t="shared" si="62"/>
        <v>0.47100000000500586</v>
      </c>
      <c r="L285">
        <f t="shared" si="63"/>
        <v>118.36701000125802</v>
      </c>
      <c r="M285">
        <f t="shared" si="64"/>
        <v>0.39499999999679858</v>
      </c>
      <c r="N285">
        <f t="shared" si="65"/>
        <v>99.267449999195449</v>
      </c>
    </row>
    <row r="286" spans="1:14" x14ac:dyDescent="0.35">
      <c r="A286">
        <v>40883.856</v>
      </c>
      <c r="B286">
        <v>40884.322999999997</v>
      </c>
      <c r="C286">
        <v>40884.815000000002</v>
      </c>
      <c r="D286">
        <v>40885.305</v>
      </c>
      <c r="E286">
        <v>40885.686999999998</v>
      </c>
      <c r="G286">
        <f t="shared" si="58"/>
        <v>0.46699999999691499</v>
      </c>
      <c r="H286">
        <f t="shared" si="59"/>
        <v>117.36176999922471</v>
      </c>
      <c r="I286">
        <f t="shared" si="60"/>
        <v>0.49200000000564614</v>
      </c>
      <c r="J286">
        <f t="shared" si="61"/>
        <v>123.64452000141894</v>
      </c>
      <c r="K286">
        <f t="shared" si="62"/>
        <v>0.48999999999796273</v>
      </c>
      <c r="L286">
        <f t="shared" si="63"/>
        <v>123.14189999948802</v>
      </c>
      <c r="M286">
        <f t="shared" si="64"/>
        <v>0.38199999999778811</v>
      </c>
      <c r="N286">
        <f t="shared" si="65"/>
        <v>96.000419999444134</v>
      </c>
    </row>
    <row r="287" spans="1:14" x14ac:dyDescent="0.35">
      <c r="A287">
        <v>40884.942000000003</v>
      </c>
      <c r="B287">
        <v>40885.408000000003</v>
      </c>
      <c r="C287">
        <v>40885.887000000002</v>
      </c>
      <c r="D287">
        <v>40886.377999999997</v>
      </c>
      <c r="E287">
        <v>40886.764999999999</v>
      </c>
      <c r="G287">
        <f t="shared" si="58"/>
        <v>0.46600000000034925</v>
      </c>
      <c r="H287">
        <f t="shared" si="59"/>
        <v>117.11046000008777</v>
      </c>
      <c r="I287">
        <f t="shared" si="60"/>
        <v>0.47899999999935972</v>
      </c>
      <c r="J287">
        <f t="shared" si="61"/>
        <v>120.37748999983909</v>
      </c>
      <c r="K287">
        <f t="shared" si="62"/>
        <v>0.49099999999452848</v>
      </c>
      <c r="L287">
        <f t="shared" si="63"/>
        <v>123.39320999862495</v>
      </c>
      <c r="M287">
        <f t="shared" si="64"/>
        <v>0.38700000000244472</v>
      </c>
      <c r="N287">
        <f t="shared" si="65"/>
        <v>97.256970000614388</v>
      </c>
    </row>
    <row r="288" spans="1:14" x14ac:dyDescent="0.35">
      <c r="A288">
        <v>40886.03</v>
      </c>
      <c r="B288">
        <v>40886.497000000003</v>
      </c>
      <c r="C288">
        <v>40886.987999999998</v>
      </c>
      <c r="D288">
        <v>40887.449000000001</v>
      </c>
      <c r="E288">
        <v>40887.847999999998</v>
      </c>
      <c r="G288">
        <f t="shared" si="58"/>
        <v>0.46700000000419095</v>
      </c>
      <c r="H288">
        <f t="shared" si="59"/>
        <v>117.36177000105323</v>
      </c>
      <c r="I288">
        <f t="shared" si="60"/>
        <v>0.49099999999452848</v>
      </c>
      <c r="J288">
        <f t="shared" si="61"/>
        <v>123.39320999862495</v>
      </c>
      <c r="K288">
        <f t="shared" si="62"/>
        <v>0.46100000000296859</v>
      </c>
      <c r="L288">
        <f t="shared" si="63"/>
        <v>115.85391000074604</v>
      </c>
      <c r="M288">
        <f t="shared" si="64"/>
        <v>0.39899999999761349</v>
      </c>
      <c r="N288">
        <f t="shared" si="65"/>
        <v>100.27268999940024</v>
      </c>
    </row>
    <row r="289" spans="1:14" x14ac:dyDescent="0.35">
      <c r="A289">
        <v>40887.118000000002</v>
      </c>
      <c r="B289">
        <v>40887.578999999998</v>
      </c>
      <c r="C289">
        <v>40888.07</v>
      </c>
      <c r="D289">
        <v>40888.552000000003</v>
      </c>
      <c r="E289">
        <v>40888.944000000003</v>
      </c>
      <c r="G289">
        <f t="shared" si="58"/>
        <v>0.46099999999569263</v>
      </c>
      <c r="H289">
        <f t="shared" si="59"/>
        <v>115.85390999891752</v>
      </c>
      <c r="I289">
        <f t="shared" si="60"/>
        <v>0.49100000000180444</v>
      </c>
      <c r="J289">
        <f t="shared" si="61"/>
        <v>123.39321000045348</v>
      </c>
      <c r="K289">
        <f t="shared" si="62"/>
        <v>0.48200000000360887</v>
      </c>
      <c r="L289">
        <f t="shared" si="63"/>
        <v>121.13142000090694</v>
      </c>
      <c r="M289">
        <f t="shared" si="64"/>
        <v>0.39199999999982538</v>
      </c>
      <c r="N289">
        <f t="shared" si="65"/>
        <v>98.513519999956117</v>
      </c>
    </row>
    <row r="290" spans="1:14" x14ac:dyDescent="0.35">
      <c r="A290">
        <v>40888.207000000002</v>
      </c>
      <c r="B290">
        <v>40888.661999999997</v>
      </c>
      <c r="C290">
        <v>40889.152999999998</v>
      </c>
      <c r="D290">
        <v>40889.633000000002</v>
      </c>
      <c r="E290">
        <v>40890.025000000001</v>
      </c>
      <c r="G290">
        <f t="shared" si="58"/>
        <v>0.45499999999447027</v>
      </c>
      <c r="H290">
        <f t="shared" si="59"/>
        <v>114.34604999861033</v>
      </c>
      <c r="I290">
        <f t="shared" si="60"/>
        <v>0.49100000000180444</v>
      </c>
      <c r="J290">
        <f t="shared" si="61"/>
        <v>123.39321000045348</v>
      </c>
      <c r="K290">
        <f t="shared" si="62"/>
        <v>0.48000000000320142</v>
      </c>
      <c r="L290">
        <f t="shared" si="63"/>
        <v>120.62880000080455</v>
      </c>
      <c r="M290">
        <f t="shared" si="64"/>
        <v>0.39199999999982538</v>
      </c>
      <c r="N290">
        <f t="shared" si="65"/>
        <v>98.513519999956117</v>
      </c>
    </row>
    <row r="291" spans="1:14" x14ac:dyDescent="0.35">
      <c r="A291">
        <v>40889.292999999998</v>
      </c>
      <c r="B291">
        <v>40889.754000000001</v>
      </c>
      <c r="C291">
        <v>40890.243999999999</v>
      </c>
      <c r="D291">
        <v>40890.724999999999</v>
      </c>
      <c r="E291">
        <v>40891.124000000003</v>
      </c>
      <c r="G291">
        <f t="shared" si="58"/>
        <v>0.46100000000296859</v>
      </c>
      <c r="H291">
        <f t="shared" si="59"/>
        <v>115.85391000074604</v>
      </c>
      <c r="I291">
        <f t="shared" si="60"/>
        <v>0.48999999999796273</v>
      </c>
      <c r="J291">
        <f t="shared" si="61"/>
        <v>123.14189999948802</v>
      </c>
      <c r="K291">
        <f t="shared" si="62"/>
        <v>0.48099999999976717</v>
      </c>
      <c r="L291">
        <f t="shared" si="63"/>
        <v>120.88010999994148</v>
      </c>
      <c r="M291">
        <f t="shared" si="64"/>
        <v>0.39900000000488944</v>
      </c>
      <c r="N291">
        <f t="shared" si="65"/>
        <v>100.27269000122877</v>
      </c>
    </row>
    <row r="292" spans="1:14" x14ac:dyDescent="0.35">
      <c r="A292">
        <v>40890.383999999998</v>
      </c>
      <c r="B292">
        <v>40890.834999999999</v>
      </c>
      <c r="C292">
        <v>40891.347000000002</v>
      </c>
      <c r="D292">
        <v>40891.817000000003</v>
      </c>
      <c r="E292">
        <v>40892.214</v>
      </c>
      <c r="G292">
        <f t="shared" si="58"/>
        <v>0.45100000000093132</v>
      </c>
      <c r="H292">
        <f t="shared" si="59"/>
        <v>113.34081000023406</v>
      </c>
      <c r="I292">
        <f t="shared" si="60"/>
        <v>0.51200000000244472</v>
      </c>
      <c r="J292">
        <f t="shared" si="61"/>
        <v>128.67072000061438</v>
      </c>
      <c r="K292">
        <f t="shared" si="62"/>
        <v>0.47000000000116415</v>
      </c>
      <c r="L292">
        <f t="shared" si="63"/>
        <v>118.11570000029256</v>
      </c>
      <c r="M292">
        <f t="shared" si="64"/>
        <v>0.39699999999720603</v>
      </c>
      <c r="N292">
        <f t="shared" si="65"/>
        <v>99.770069999297846</v>
      </c>
    </row>
    <row r="293" spans="1:14" x14ac:dyDescent="0.35">
      <c r="A293">
        <v>40891.472000000002</v>
      </c>
      <c r="B293">
        <v>40891.919000000002</v>
      </c>
      <c r="C293">
        <v>40892.417999999998</v>
      </c>
      <c r="D293">
        <v>40892.910000000003</v>
      </c>
      <c r="E293">
        <v>40893.290999999997</v>
      </c>
      <c r="G293">
        <f t="shared" si="58"/>
        <v>0.44700000000011642</v>
      </c>
      <c r="H293">
        <f t="shared" si="59"/>
        <v>112.33557000002926</v>
      </c>
      <c r="I293">
        <f t="shared" si="60"/>
        <v>0.49899999999615829</v>
      </c>
      <c r="J293">
        <f t="shared" si="61"/>
        <v>125.40368999903454</v>
      </c>
      <c r="K293">
        <f t="shared" si="62"/>
        <v>0.49200000000564614</v>
      </c>
      <c r="L293">
        <f t="shared" si="63"/>
        <v>123.64452000141894</v>
      </c>
      <c r="M293">
        <f t="shared" si="64"/>
        <v>0.3809999999939464</v>
      </c>
      <c r="N293">
        <f t="shared" si="65"/>
        <v>95.749109998478673</v>
      </c>
    </row>
    <row r="294" spans="1:14" x14ac:dyDescent="0.35">
      <c r="A294">
        <v>40892.559999999998</v>
      </c>
      <c r="B294">
        <v>40893.031000000003</v>
      </c>
      <c r="C294">
        <v>40893.51</v>
      </c>
      <c r="D294">
        <v>40894.000999999997</v>
      </c>
      <c r="E294">
        <v>40894.385999999999</v>
      </c>
      <c r="G294">
        <f t="shared" si="58"/>
        <v>0.47100000000500586</v>
      </c>
      <c r="H294">
        <f t="shared" si="59"/>
        <v>118.36701000125802</v>
      </c>
      <c r="I294">
        <f t="shared" si="60"/>
        <v>0.47899999999935972</v>
      </c>
      <c r="J294">
        <f t="shared" si="61"/>
        <v>120.37748999983909</v>
      </c>
      <c r="K294">
        <f t="shared" si="62"/>
        <v>0.49099999999452848</v>
      </c>
      <c r="L294">
        <f t="shared" si="63"/>
        <v>123.39320999862495</v>
      </c>
      <c r="M294">
        <f t="shared" si="64"/>
        <v>0.38500000000203727</v>
      </c>
      <c r="N294">
        <f t="shared" si="65"/>
        <v>96.754350000511991</v>
      </c>
    </row>
    <row r="295" spans="1:14" x14ac:dyDescent="0.35">
      <c r="A295">
        <v>40893.648999999998</v>
      </c>
      <c r="B295">
        <v>40894.091999999997</v>
      </c>
      <c r="C295">
        <v>40894.593000000001</v>
      </c>
      <c r="D295">
        <v>40895.063999999998</v>
      </c>
      <c r="E295">
        <v>40895.46</v>
      </c>
      <c r="G295">
        <f t="shared" si="58"/>
        <v>0.44299999999930151</v>
      </c>
      <c r="H295">
        <f t="shared" si="59"/>
        <v>111.33032999982446</v>
      </c>
      <c r="I295">
        <f t="shared" si="60"/>
        <v>0.50100000000384171</v>
      </c>
      <c r="J295">
        <f t="shared" si="61"/>
        <v>125.90631000096546</v>
      </c>
      <c r="K295">
        <f t="shared" si="62"/>
        <v>0.4709999999977299</v>
      </c>
      <c r="L295">
        <f t="shared" si="63"/>
        <v>118.3670099994295</v>
      </c>
      <c r="M295">
        <f t="shared" si="64"/>
        <v>0.39600000000064028</v>
      </c>
      <c r="N295">
        <f t="shared" si="65"/>
        <v>99.51876000016091</v>
      </c>
    </row>
    <row r="296" spans="1:14" x14ac:dyDescent="0.35">
      <c r="A296">
        <v>40894.737999999998</v>
      </c>
      <c r="B296">
        <v>40895.203000000001</v>
      </c>
      <c r="C296">
        <v>40895.694000000003</v>
      </c>
      <c r="D296">
        <v>40896.173999999999</v>
      </c>
      <c r="E296">
        <v>40896.557999999997</v>
      </c>
      <c r="G296">
        <f t="shared" si="58"/>
        <v>0.4650000000037835</v>
      </c>
      <c r="H296">
        <f t="shared" si="59"/>
        <v>116.85915000095083</v>
      </c>
      <c r="I296">
        <f t="shared" si="60"/>
        <v>0.49100000000180444</v>
      </c>
      <c r="J296">
        <f t="shared" si="61"/>
        <v>123.39321000045348</v>
      </c>
      <c r="K296">
        <f t="shared" si="62"/>
        <v>0.47999999999592546</v>
      </c>
      <c r="L296">
        <f t="shared" si="63"/>
        <v>120.62879999897604</v>
      </c>
      <c r="M296">
        <f t="shared" si="64"/>
        <v>0.38399999999819556</v>
      </c>
      <c r="N296">
        <f t="shared" si="65"/>
        <v>96.50303999954653</v>
      </c>
    </row>
    <row r="297" spans="1:14" x14ac:dyDescent="0.35">
      <c r="A297">
        <v>40895.826000000001</v>
      </c>
      <c r="B297">
        <v>40896.286999999997</v>
      </c>
      <c r="C297">
        <v>40896.777999999998</v>
      </c>
      <c r="D297">
        <v>40897.248</v>
      </c>
      <c r="E297">
        <v>40897.648000000001</v>
      </c>
      <c r="G297">
        <f t="shared" si="58"/>
        <v>0.46099999999569263</v>
      </c>
      <c r="H297">
        <f t="shared" si="59"/>
        <v>115.85390999891752</v>
      </c>
      <c r="I297">
        <f t="shared" si="60"/>
        <v>0.49100000000180444</v>
      </c>
      <c r="J297">
        <f t="shared" si="61"/>
        <v>123.39321000045348</v>
      </c>
      <c r="K297">
        <f t="shared" si="62"/>
        <v>0.47000000000116415</v>
      </c>
      <c r="L297">
        <f t="shared" si="63"/>
        <v>118.11570000029256</v>
      </c>
      <c r="M297">
        <f t="shared" si="64"/>
        <v>0.40000000000145519</v>
      </c>
      <c r="N297">
        <f t="shared" si="65"/>
        <v>100.5240000003657</v>
      </c>
    </row>
    <row r="298" spans="1:14" x14ac:dyDescent="0.35">
      <c r="A298">
        <v>40896.915000000001</v>
      </c>
      <c r="B298">
        <v>40897.387000000002</v>
      </c>
      <c r="C298">
        <v>40897.868999999999</v>
      </c>
      <c r="D298">
        <v>40898.338000000003</v>
      </c>
      <c r="E298">
        <v>40898.735000000001</v>
      </c>
      <c r="G298">
        <f t="shared" si="58"/>
        <v>0.47200000000157161</v>
      </c>
      <c r="H298">
        <f t="shared" si="59"/>
        <v>118.61832000039496</v>
      </c>
      <c r="I298">
        <f t="shared" si="60"/>
        <v>0.48199999999633292</v>
      </c>
      <c r="J298">
        <f t="shared" si="61"/>
        <v>121.13141999907843</v>
      </c>
      <c r="K298">
        <f t="shared" si="62"/>
        <v>0.46900000000459841</v>
      </c>
      <c r="L298">
        <f t="shared" si="63"/>
        <v>117.86439000115563</v>
      </c>
      <c r="M298">
        <f t="shared" si="64"/>
        <v>0.39699999999720603</v>
      </c>
      <c r="N298">
        <f t="shared" si="65"/>
        <v>99.770069999297846</v>
      </c>
    </row>
    <row r="299" spans="1:14" x14ac:dyDescent="0.35">
      <c r="A299">
        <v>40898.004000000001</v>
      </c>
      <c r="B299">
        <v>40898.44</v>
      </c>
      <c r="C299">
        <v>40898.949999999997</v>
      </c>
      <c r="D299">
        <v>40899.42</v>
      </c>
      <c r="E299">
        <v>40899.813000000002</v>
      </c>
      <c r="G299">
        <f t="shared" si="58"/>
        <v>0.4360000000015134</v>
      </c>
      <c r="H299">
        <f t="shared" si="59"/>
        <v>109.57116000038033</v>
      </c>
      <c r="I299">
        <f t="shared" si="60"/>
        <v>0.50999999999476131</v>
      </c>
      <c r="J299">
        <f t="shared" si="61"/>
        <v>128.16809999868346</v>
      </c>
      <c r="K299">
        <f t="shared" si="62"/>
        <v>0.47000000000116415</v>
      </c>
      <c r="L299">
        <f t="shared" si="63"/>
        <v>118.11570000029256</v>
      </c>
      <c r="M299">
        <f t="shared" si="64"/>
        <v>0.39300000000366708</v>
      </c>
      <c r="N299">
        <f t="shared" si="65"/>
        <v>98.764830000921577</v>
      </c>
    </row>
    <row r="300" spans="1:14" x14ac:dyDescent="0.35">
      <c r="A300">
        <v>40909.985999999997</v>
      </c>
      <c r="B300">
        <v>40910.906999999999</v>
      </c>
      <c r="C300">
        <v>40912.076999999997</v>
      </c>
      <c r="D300">
        <v>40913.167000000001</v>
      </c>
      <c r="E300">
        <v>40914.065999999999</v>
      </c>
      <c r="G300">
        <f t="shared" si="58"/>
        <v>0.92100000000209548</v>
      </c>
      <c r="H300">
        <f>G300*110.06</f>
        <v>101.36526000023063</v>
      </c>
      <c r="I300">
        <f t="shared" si="60"/>
        <v>1.1699999999982538</v>
      </c>
      <c r="J300">
        <f>I300*110.06</f>
        <v>128.7701999998078</v>
      </c>
      <c r="K300">
        <f t="shared" si="62"/>
        <v>1.0900000000037835</v>
      </c>
      <c r="L300">
        <f>K300*110.06</f>
        <v>119.96540000041641</v>
      </c>
      <c r="M300">
        <f t="shared" si="64"/>
        <v>0.89899999999761349</v>
      </c>
      <c r="N300">
        <f>M300*110.06</f>
        <v>98.943939999737339</v>
      </c>
    </row>
    <row r="301" spans="1:14" x14ac:dyDescent="0.35">
      <c r="A301">
        <v>40926.457999999999</v>
      </c>
      <c r="B301">
        <v>40926.892999999996</v>
      </c>
      <c r="C301">
        <v>40927.404000000002</v>
      </c>
      <c r="D301">
        <v>40927.883999999998</v>
      </c>
      <c r="E301">
        <v>40928.271000000001</v>
      </c>
      <c r="G301">
        <f t="shared" si="58"/>
        <v>0.43499999999767169</v>
      </c>
      <c r="H301">
        <f t="shared" si="59"/>
        <v>109.31984999941487</v>
      </c>
      <c r="I301">
        <f t="shared" si="60"/>
        <v>0.51100000000587897</v>
      </c>
      <c r="J301">
        <f t="shared" si="61"/>
        <v>128.41941000147744</v>
      </c>
      <c r="K301">
        <f t="shared" si="62"/>
        <v>0.47999999999592546</v>
      </c>
      <c r="L301">
        <f t="shared" si="63"/>
        <v>120.62879999897604</v>
      </c>
      <c r="M301">
        <f t="shared" si="64"/>
        <v>0.38700000000244472</v>
      </c>
      <c r="N301">
        <f t="shared" si="65"/>
        <v>97.256970000614388</v>
      </c>
    </row>
    <row r="302" spans="1:14" x14ac:dyDescent="0.35">
      <c r="A302">
        <v>40927.546999999999</v>
      </c>
      <c r="B302">
        <v>40927.998</v>
      </c>
      <c r="C302">
        <v>40928.495999999999</v>
      </c>
      <c r="D302">
        <v>40928.968000000001</v>
      </c>
      <c r="E302">
        <v>40929.362999999998</v>
      </c>
      <c r="G302">
        <f t="shared" si="58"/>
        <v>0.45100000000093132</v>
      </c>
      <c r="H302">
        <f t="shared" si="59"/>
        <v>113.34081000023406</v>
      </c>
      <c r="I302">
        <f t="shared" si="60"/>
        <v>0.49799999999959255</v>
      </c>
      <c r="J302">
        <f t="shared" si="61"/>
        <v>125.1523799998976</v>
      </c>
      <c r="K302">
        <f t="shared" si="62"/>
        <v>0.47200000000157161</v>
      </c>
      <c r="L302">
        <f t="shared" si="63"/>
        <v>118.61832000039496</v>
      </c>
      <c r="M302">
        <f t="shared" si="64"/>
        <v>0.39499999999679858</v>
      </c>
      <c r="N302">
        <f t="shared" si="65"/>
        <v>99.267449999195449</v>
      </c>
    </row>
    <row r="303" spans="1:14" x14ac:dyDescent="0.35">
      <c r="A303">
        <v>40928.633999999998</v>
      </c>
      <c r="B303">
        <v>40929.067000000003</v>
      </c>
      <c r="C303">
        <v>40929.578000000001</v>
      </c>
      <c r="D303">
        <v>40930.048000000003</v>
      </c>
      <c r="E303">
        <v>40930.445</v>
      </c>
      <c r="G303">
        <f t="shared" si="58"/>
        <v>0.4330000000045402</v>
      </c>
      <c r="H303">
        <f t="shared" si="59"/>
        <v>108.817230001141</v>
      </c>
      <c r="I303">
        <f t="shared" si="60"/>
        <v>0.51099999999860302</v>
      </c>
      <c r="J303">
        <f t="shared" si="61"/>
        <v>128.41940999964893</v>
      </c>
      <c r="K303">
        <f t="shared" si="62"/>
        <v>0.47000000000116415</v>
      </c>
      <c r="L303">
        <f t="shared" si="63"/>
        <v>118.11570000029256</v>
      </c>
      <c r="M303">
        <f t="shared" si="64"/>
        <v>0.39699999999720603</v>
      </c>
      <c r="N303">
        <f t="shared" si="65"/>
        <v>99.770069999297846</v>
      </c>
    </row>
    <row r="304" spans="1:14" x14ac:dyDescent="0.35">
      <c r="A304">
        <v>40929.722000000002</v>
      </c>
      <c r="B304">
        <v>40930.199000000001</v>
      </c>
      <c r="C304">
        <v>40930.67</v>
      </c>
      <c r="D304">
        <v>40931.150999999998</v>
      </c>
      <c r="E304">
        <v>40931.548000000003</v>
      </c>
      <c r="G304">
        <f t="shared" si="58"/>
        <v>0.47699999999895226</v>
      </c>
      <c r="H304">
        <f t="shared" si="59"/>
        <v>119.87486999973669</v>
      </c>
      <c r="I304">
        <f t="shared" si="60"/>
        <v>0.4709999999977299</v>
      </c>
      <c r="J304">
        <f t="shared" si="61"/>
        <v>118.3670099994295</v>
      </c>
      <c r="K304">
        <f t="shared" si="62"/>
        <v>0.48099999999976717</v>
      </c>
      <c r="L304">
        <f t="shared" si="63"/>
        <v>120.88010999994148</v>
      </c>
      <c r="M304">
        <f t="shared" si="64"/>
        <v>0.39700000000448199</v>
      </c>
      <c r="N304">
        <f t="shared" si="65"/>
        <v>99.770070001126371</v>
      </c>
    </row>
    <row r="305" spans="1:14" x14ac:dyDescent="0.35">
      <c r="A305">
        <v>40930.811000000002</v>
      </c>
      <c r="B305">
        <v>40931.262999999999</v>
      </c>
      <c r="C305">
        <v>40931.762000000002</v>
      </c>
      <c r="D305">
        <v>40932.243000000002</v>
      </c>
      <c r="E305">
        <v>40932.637999999999</v>
      </c>
      <c r="G305">
        <f t="shared" si="58"/>
        <v>0.45199999999749707</v>
      </c>
      <c r="H305">
        <f t="shared" si="59"/>
        <v>113.59211999937099</v>
      </c>
      <c r="I305">
        <f t="shared" si="60"/>
        <v>0.49900000000343425</v>
      </c>
      <c r="J305">
        <f t="shared" si="61"/>
        <v>125.40369000086307</v>
      </c>
      <c r="K305">
        <f t="shared" si="62"/>
        <v>0.48099999999976717</v>
      </c>
      <c r="L305">
        <f t="shared" si="63"/>
        <v>120.88010999994148</v>
      </c>
      <c r="M305">
        <f t="shared" si="64"/>
        <v>0.39499999999679858</v>
      </c>
      <c r="N305">
        <f t="shared" si="65"/>
        <v>99.267449999195449</v>
      </c>
    </row>
    <row r="306" spans="1:14" x14ac:dyDescent="0.35">
      <c r="A306">
        <v>40931.896999999997</v>
      </c>
      <c r="B306">
        <v>40932.362000000001</v>
      </c>
      <c r="C306">
        <v>40932.853999999999</v>
      </c>
      <c r="D306">
        <v>40933.324000000001</v>
      </c>
      <c r="E306">
        <v>40933.713000000003</v>
      </c>
      <c r="G306">
        <f t="shared" si="58"/>
        <v>0.4650000000037835</v>
      </c>
      <c r="H306">
        <f t="shared" si="59"/>
        <v>116.85915000095083</v>
      </c>
      <c r="I306">
        <f t="shared" si="60"/>
        <v>0.49199999999837019</v>
      </c>
      <c r="J306">
        <f t="shared" si="61"/>
        <v>123.64451999959041</v>
      </c>
      <c r="K306">
        <f t="shared" si="62"/>
        <v>0.47000000000116415</v>
      </c>
      <c r="L306">
        <f t="shared" si="63"/>
        <v>118.11570000029256</v>
      </c>
      <c r="M306">
        <f t="shared" si="64"/>
        <v>0.38900000000285218</v>
      </c>
      <c r="N306">
        <f t="shared" si="65"/>
        <v>97.759590000716784</v>
      </c>
    </row>
    <row r="307" spans="1:14" x14ac:dyDescent="0.35">
      <c r="A307">
        <v>40932.983999999997</v>
      </c>
      <c r="B307">
        <v>40933.434999999998</v>
      </c>
      <c r="C307">
        <v>40933.936000000002</v>
      </c>
      <c r="D307">
        <v>40934.415000000001</v>
      </c>
      <c r="E307">
        <v>40934.805</v>
      </c>
      <c r="G307">
        <f t="shared" si="58"/>
        <v>0.45100000000093132</v>
      </c>
      <c r="H307">
        <f t="shared" si="59"/>
        <v>113.34081000023406</v>
      </c>
      <c r="I307">
        <f t="shared" si="60"/>
        <v>0.50100000000384171</v>
      </c>
      <c r="J307">
        <f t="shared" si="61"/>
        <v>125.90631000096546</v>
      </c>
      <c r="K307">
        <f t="shared" si="62"/>
        <v>0.47899999999935972</v>
      </c>
      <c r="L307">
        <f t="shared" si="63"/>
        <v>120.37748999983909</v>
      </c>
      <c r="M307">
        <f t="shared" si="64"/>
        <v>0.38999999999941792</v>
      </c>
      <c r="N307">
        <f t="shared" si="65"/>
        <v>98.01089999985372</v>
      </c>
    </row>
    <row r="308" spans="1:14" x14ac:dyDescent="0.35">
      <c r="A308">
        <v>40980.008999999998</v>
      </c>
      <c r="B308">
        <v>40980.451999999997</v>
      </c>
      <c r="C308">
        <v>40980.951999999997</v>
      </c>
      <c r="D308">
        <v>40981.434000000001</v>
      </c>
      <c r="E308">
        <v>40981.822999999997</v>
      </c>
      <c r="G308">
        <f t="shared" si="58"/>
        <v>0.44299999999930151</v>
      </c>
      <c r="H308">
        <f t="shared" si="59"/>
        <v>111.33032999982446</v>
      </c>
      <c r="I308">
        <f t="shared" si="60"/>
        <v>0.5</v>
      </c>
      <c r="J308">
        <f t="shared" si="61"/>
        <v>125.655</v>
      </c>
      <c r="K308">
        <f t="shared" si="62"/>
        <v>0.48200000000360887</v>
      </c>
      <c r="L308">
        <f t="shared" si="63"/>
        <v>121.13142000090694</v>
      </c>
      <c r="M308">
        <f t="shared" si="64"/>
        <v>0.38899999999557622</v>
      </c>
      <c r="N308">
        <f t="shared" si="65"/>
        <v>97.759589998888259</v>
      </c>
    </row>
    <row r="309" spans="1:14" x14ac:dyDescent="0.35">
      <c r="A309">
        <v>40981.097999999998</v>
      </c>
      <c r="B309">
        <v>40981.544999999998</v>
      </c>
      <c r="C309">
        <v>40982.046000000002</v>
      </c>
      <c r="D309">
        <v>40982.516000000003</v>
      </c>
      <c r="E309">
        <v>40982.913</v>
      </c>
      <c r="G309">
        <f t="shared" si="58"/>
        <v>0.44700000000011642</v>
      </c>
      <c r="H309">
        <f t="shared" si="59"/>
        <v>112.33557000002926</v>
      </c>
      <c r="I309">
        <f t="shared" si="60"/>
        <v>0.50100000000384171</v>
      </c>
      <c r="J309">
        <f t="shared" si="61"/>
        <v>125.90631000096546</v>
      </c>
      <c r="K309">
        <f t="shared" si="62"/>
        <v>0.47000000000116415</v>
      </c>
      <c r="L309">
        <f t="shared" si="63"/>
        <v>118.11570000029256</v>
      </c>
      <c r="M309">
        <f t="shared" si="64"/>
        <v>0.39699999999720603</v>
      </c>
      <c r="N309">
        <f t="shared" si="65"/>
        <v>99.770069999297846</v>
      </c>
    </row>
    <row r="310" spans="1:14" x14ac:dyDescent="0.35">
      <c r="A310">
        <v>40982.184999999998</v>
      </c>
      <c r="B310">
        <v>40982.637000000002</v>
      </c>
      <c r="C310">
        <v>40983.135999999999</v>
      </c>
      <c r="D310">
        <v>40983.616999999998</v>
      </c>
      <c r="E310">
        <v>40984.010999999999</v>
      </c>
      <c r="G310">
        <f t="shared" si="58"/>
        <v>0.45200000000477303</v>
      </c>
      <c r="H310">
        <f t="shared" si="59"/>
        <v>113.5921200011995</v>
      </c>
      <c r="I310">
        <f t="shared" si="60"/>
        <v>0.49899999999615829</v>
      </c>
      <c r="J310">
        <f t="shared" si="61"/>
        <v>125.40368999903454</v>
      </c>
      <c r="K310">
        <f t="shared" si="62"/>
        <v>0.48099999999976717</v>
      </c>
      <c r="L310">
        <f t="shared" si="63"/>
        <v>120.88010999994148</v>
      </c>
      <c r="M310">
        <f t="shared" si="64"/>
        <v>0.39400000000023283</v>
      </c>
      <c r="N310">
        <f t="shared" si="65"/>
        <v>99.016140000058513</v>
      </c>
    </row>
    <row r="311" spans="1:14" x14ac:dyDescent="0.35">
      <c r="A311">
        <v>40983.273000000001</v>
      </c>
      <c r="B311">
        <v>40983.737999999998</v>
      </c>
      <c r="C311">
        <v>40984.22</v>
      </c>
      <c r="D311">
        <v>40984.711000000003</v>
      </c>
      <c r="E311">
        <v>40985.095000000001</v>
      </c>
      <c r="G311">
        <f t="shared" si="58"/>
        <v>0.46499999999650754</v>
      </c>
      <c r="H311">
        <f t="shared" si="59"/>
        <v>116.85914999912231</v>
      </c>
      <c r="I311">
        <f t="shared" si="60"/>
        <v>0.48200000000360887</v>
      </c>
      <c r="J311">
        <f t="shared" si="61"/>
        <v>121.13142000090694</v>
      </c>
      <c r="K311">
        <f t="shared" si="62"/>
        <v>0.49100000000180444</v>
      </c>
      <c r="L311">
        <f t="shared" si="63"/>
        <v>123.39321000045348</v>
      </c>
      <c r="M311">
        <f t="shared" si="64"/>
        <v>0.38399999999819556</v>
      </c>
      <c r="N311">
        <f t="shared" si="65"/>
        <v>96.50303999954653</v>
      </c>
    </row>
    <row r="312" spans="1:14" x14ac:dyDescent="0.35">
      <c r="A312">
        <v>40984.358999999997</v>
      </c>
      <c r="B312">
        <v>40984.830999999998</v>
      </c>
      <c r="C312">
        <v>40985.313000000002</v>
      </c>
      <c r="D312">
        <v>40985.792000000001</v>
      </c>
      <c r="E312">
        <v>40986.184999999998</v>
      </c>
      <c r="G312">
        <f t="shared" si="58"/>
        <v>0.47200000000157161</v>
      </c>
      <c r="H312">
        <f t="shared" si="59"/>
        <v>118.61832000039496</v>
      </c>
      <c r="I312">
        <f t="shared" si="60"/>
        <v>0.48200000000360887</v>
      </c>
      <c r="J312">
        <f t="shared" si="61"/>
        <v>121.13142000090694</v>
      </c>
      <c r="K312">
        <f t="shared" si="62"/>
        <v>0.47899999999935972</v>
      </c>
      <c r="L312">
        <f t="shared" si="63"/>
        <v>120.37748999983909</v>
      </c>
      <c r="M312">
        <f t="shared" si="64"/>
        <v>0.39299999999639113</v>
      </c>
      <c r="N312">
        <f t="shared" si="65"/>
        <v>98.764829999093052</v>
      </c>
    </row>
    <row r="313" spans="1:14" x14ac:dyDescent="0.35">
      <c r="A313">
        <v>40985.447</v>
      </c>
      <c r="B313">
        <v>40985.913</v>
      </c>
      <c r="C313">
        <v>40986.392</v>
      </c>
      <c r="D313">
        <v>40986.883999999998</v>
      </c>
      <c r="E313">
        <v>40987.271999999997</v>
      </c>
      <c r="G313">
        <f t="shared" si="58"/>
        <v>0.46600000000034925</v>
      </c>
      <c r="H313">
        <f t="shared" si="59"/>
        <v>117.11046000008777</v>
      </c>
      <c r="I313">
        <f t="shared" si="60"/>
        <v>0.47899999999935972</v>
      </c>
      <c r="J313">
        <f t="shared" si="61"/>
        <v>120.37748999983909</v>
      </c>
      <c r="K313">
        <f t="shared" si="62"/>
        <v>0.49199999999837019</v>
      </c>
      <c r="L313">
        <f t="shared" si="63"/>
        <v>123.64451999959041</v>
      </c>
      <c r="M313">
        <f t="shared" si="64"/>
        <v>0.38799999999901047</v>
      </c>
      <c r="N313">
        <f t="shared" si="65"/>
        <v>97.508279999751323</v>
      </c>
    </row>
    <row r="314" spans="1:14" x14ac:dyDescent="0.35">
      <c r="A314">
        <v>40986.535000000003</v>
      </c>
      <c r="B314">
        <v>40987.004000000001</v>
      </c>
      <c r="C314">
        <v>40987.487000000001</v>
      </c>
      <c r="D314">
        <v>40987.964999999997</v>
      </c>
      <c r="E314">
        <v>40988.353999999999</v>
      </c>
      <c r="G314">
        <f t="shared" si="58"/>
        <v>0.46899999999732245</v>
      </c>
      <c r="H314">
        <f t="shared" si="59"/>
        <v>117.8643899993271</v>
      </c>
      <c r="I314">
        <f t="shared" si="60"/>
        <v>0.48300000000017462</v>
      </c>
      <c r="J314">
        <f t="shared" si="61"/>
        <v>121.38273000004389</v>
      </c>
      <c r="K314">
        <f t="shared" si="62"/>
        <v>0.47799999999551801</v>
      </c>
      <c r="L314">
        <f t="shared" si="63"/>
        <v>120.12617999887364</v>
      </c>
      <c r="M314">
        <f t="shared" si="64"/>
        <v>0.38900000000285218</v>
      </c>
      <c r="N314">
        <f t="shared" si="65"/>
        <v>97.759590000716784</v>
      </c>
    </row>
    <row r="315" spans="1:14" x14ac:dyDescent="0.35">
      <c r="A315">
        <v>40987.622000000003</v>
      </c>
      <c r="B315">
        <v>40988.067000000003</v>
      </c>
      <c r="C315">
        <v>40988.567000000003</v>
      </c>
      <c r="D315">
        <v>40989.038</v>
      </c>
      <c r="E315">
        <v>40989.440000000002</v>
      </c>
      <c r="G315">
        <f t="shared" si="58"/>
        <v>0.44499999999970896</v>
      </c>
      <c r="H315">
        <f t="shared" si="59"/>
        <v>111.83294999992685</v>
      </c>
      <c r="I315">
        <f t="shared" si="60"/>
        <v>0.5</v>
      </c>
      <c r="J315">
        <f t="shared" si="61"/>
        <v>125.655</v>
      </c>
      <c r="K315">
        <f t="shared" si="62"/>
        <v>0.4709999999977299</v>
      </c>
      <c r="L315">
        <f t="shared" si="63"/>
        <v>118.3670099994295</v>
      </c>
      <c r="M315">
        <f t="shared" si="64"/>
        <v>0.40200000000186265</v>
      </c>
      <c r="N315">
        <f t="shared" si="65"/>
        <v>101.0266200004681</v>
      </c>
    </row>
    <row r="316" spans="1:14" x14ac:dyDescent="0.35">
      <c r="A316">
        <v>40988.71</v>
      </c>
      <c r="B316">
        <v>40989.167999999998</v>
      </c>
      <c r="C316">
        <v>40989.660000000003</v>
      </c>
      <c r="D316">
        <v>40990.15</v>
      </c>
      <c r="E316">
        <v>40990.535000000003</v>
      </c>
      <c r="G316">
        <f t="shared" si="58"/>
        <v>0.45799999999871943</v>
      </c>
      <c r="H316">
        <f t="shared" si="59"/>
        <v>115.09997999967818</v>
      </c>
      <c r="I316">
        <f t="shared" si="60"/>
        <v>0.49200000000564614</v>
      </c>
      <c r="J316">
        <f t="shared" si="61"/>
        <v>123.64452000141894</v>
      </c>
      <c r="K316">
        <f t="shared" si="62"/>
        <v>0.48999999999796273</v>
      </c>
      <c r="L316">
        <f t="shared" si="63"/>
        <v>123.14189999948802</v>
      </c>
      <c r="M316">
        <f t="shared" si="64"/>
        <v>0.38500000000203727</v>
      </c>
      <c r="N316">
        <f t="shared" si="65"/>
        <v>96.754350000511991</v>
      </c>
    </row>
    <row r="317" spans="1:14" x14ac:dyDescent="0.35">
      <c r="A317">
        <v>40989.798000000003</v>
      </c>
      <c r="B317">
        <v>40990.262000000002</v>
      </c>
      <c r="C317">
        <v>40990.750999999997</v>
      </c>
      <c r="D317">
        <v>40991.241999999998</v>
      </c>
      <c r="E317">
        <v>40991.629999999997</v>
      </c>
      <c r="G317">
        <f t="shared" si="58"/>
        <v>0.46399999999994179</v>
      </c>
      <c r="H317">
        <f t="shared" si="59"/>
        <v>116.60783999998537</v>
      </c>
      <c r="I317">
        <f t="shared" si="60"/>
        <v>0.48899999999412103</v>
      </c>
      <c r="J317">
        <f t="shared" si="61"/>
        <v>122.89058999852256</v>
      </c>
      <c r="K317">
        <f t="shared" si="62"/>
        <v>0.49100000000180444</v>
      </c>
      <c r="L317">
        <f t="shared" si="63"/>
        <v>123.39321000045348</v>
      </c>
      <c r="M317">
        <f t="shared" si="64"/>
        <v>0.38799999999901047</v>
      </c>
      <c r="N317">
        <f t="shared" si="65"/>
        <v>97.508279999751323</v>
      </c>
    </row>
    <row r="318" spans="1:14" x14ac:dyDescent="0.35">
      <c r="A318">
        <v>40990.885999999999</v>
      </c>
      <c r="B318">
        <v>40991.343000000001</v>
      </c>
      <c r="C318">
        <v>40991.843999999997</v>
      </c>
      <c r="D318">
        <v>40992.315000000002</v>
      </c>
      <c r="E318">
        <v>40992.707000000002</v>
      </c>
      <c r="G318">
        <f t="shared" si="58"/>
        <v>0.45700000000215368</v>
      </c>
      <c r="H318">
        <f t="shared" si="59"/>
        <v>114.84867000054125</v>
      </c>
      <c r="I318">
        <f t="shared" si="60"/>
        <v>0.50099999999656575</v>
      </c>
      <c r="J318">
        <f t="shared" si="61"/>
        <v>125.90630999913694</v>
      </c>
      <c r="K318">
        <f t="shared" si="62"/>
        <v>0.47100000000500586</v>
      </c>
      <c r="L318">
        <f t="shared" si="63"/>
        <v>118.36701000125802</v>
      </c>
      <c r="M318">
        <f t="shared" si="64"/>
        <v>0.39199999999982538</v>
      </c>
      <c r="N318">
        <f t="shared" si="65"/>
        <v>98.513519999956117</v>
      </c>
    </row>
    <row r="319" spans="1:14" x14ac:dyDescent="0.35">
      <c r="A319">
        <v>40991.978000000003</v>
      </c>
      <c r="B319">
        <v>40992.434999999998</v>
      </c>
      <c r="C319">
        <v>40992.923999999999</v>
      </c>
      <c r="D319">
        <v>40993.406999999999</v>
      </c>
      <c r="E319">
        <v>40993.796999999999</v>
      </c>
      <c r="G319">
        <f t="shared" si="58"/>
        <v>0.45699999999487773</v>
      </c>
      <c r="H319">
        <f t="shared" si="59"/>
        <v>114.84866999871272</v>
      </c>
      <c r="I319">
        <f t="shared" si="60"/>
        <v>0.48900000000139698</v>
      </c>
      <c r="J319">
        <f t="shared" si="61"/>
        <v>122.89059000035108</v>
      </c>
      <c r="K319">
        <f t="shared" si="62"/>
        <v>0.48300000000017462</v>
      </c>
      <c r="L319">
        <f t="shared" si="63"/>
        <v>121.38273000004389</v>
      </c>
      <c r="M319">
        <f t="shared" si="64"/>
        <v>0.38999999999941792</v>
      </c>
      <c r="N319">
        <f t="shared" si="65"/>
        <v>98.01089999985372</v>
      </c>
    </row>
    <row r="320" spans="1:14" x14ac:dyDescent="0.35">
      <c r="A320">
        <v>40993.063000000002</v>
      </c>
      <c r="B320">
        <v>40993.527000000002</v>
      </c>
      <c r="C320">
        <v>40994.006999999998</v>
      </c>
      <c r="D320">
        <v>40994.499000000003</v>
      </c>
      <c r="E320">
        <v>40994.883999999998</v>
      </c>
      <c r="G320">
        <f t="shared" si="58"/>
        <v>0.46399999999994179</v>
      </c>
      <c r="H320">
        <f t="shared" si="59"/>
        <v>116.60783999998537</v>
      </c>
      <c r="I320">
        <f t="shared" si="60"/>
        <v>0.47999999999592546</v>
      </c>
      <c r="J320">
        <f t="shared" si="61"/>
        <v>120.62879999897604</v>
      </c>
      <c r="K320">
        <f t="shared" si="62"/>
        <v>0.49200000000564614</v>
      </c>
      <c r="L320">
        <f t="shared" si="63"/>
        <v>123.64452000141894</v>
      </c>
      <c r="M320">
        <f t="shared" si="64"/>
        <v>0.38499999999476131</v>
      </c>
      <c r="N320">
        <f t="shared" si="65"/>
        <v>96.754349998683466</v>
      </c>
    </row>
    <row r="321" spans="1:14" x14ac:dyDescent="0.35">
      <c r="A321">
        <v>40994.15</v>
      </c>
      <c r="B321">
        <v>40994.618000000002</v>
      </c>
      <c r="C321">
        <v>40995.120000000003</v>
      </c>
      <c r="D321">
        <v>40995.582000000002</v>
      </c>
      <c r="E321">
        <v>40995.972999999998</v>
      </c>
      <c r="G321">
        <f t="shared" si="58"/>
        <v>0.4680000000007567</v>
      </c>
      <c r="H321">
        <f t="shared" si="59"/>
        <v>117.61308000019017</v>
      </c>
      <c r="I321">
        <f t="shared" si="60"/>
        <v>0.50200000000040745</v>
      </c>
      <c r="J321">
        <f t="shared" si="61"/>
        <v>126.1576200001024</v>
      </c>
      <c r="K321">
        <f t="shared" si="62"/>
        <v>0.46199999999953434</v>
      </c>
      <c r="L321">
        <f t="shared" si="63"/>
        <v>116.10521999988298</v>
      </c>
      <c r="M321">
        <f t="shared" si="64"/>
        <v>0.39099999999598367</v>
      </c>
      <c r="N321">
        <f t="shared" si="65"/>
        <v>98.262209998990656</v>
      </c>
    </row>
    <row r="322" spans="1:14" x14ac:dyDescent="0.35">
      <c r="A322">
        <v>40995.237999999998</v>
      </c>
      <c r="B322">
        <v>40995.690999999999</v>
      </c>
      <c r="C322">
        <v>40996.190999999999</v>
      </c>
      <c r="D322">
        <v>40996.663999999997</v>
      </c>
      <c r="E322">
        <v>40997.061000000002</v>
      </c>
      <c r="G322">
        <f t="shared" si="58"/>
        <v>0.45300000000133878</v>
      </c>
      <c r="H322">
        <f t="shared" si="59"/>
        <v>113.84343000033645</v>
      </c>
      <c r="I322">
        <f t="shared" si="60"/>
        <v>0.5</v>
      </c>
      <c r="J322">
        <f t="shared" si="61"/>
        <v>125.655</v>
      </c>
      <c r="K322">
        <f t="shared" si="62"/>
        <v>0.47299999999813735</v>
      </c>
      <c r="L322">
        <f t="shared" si="63"/>
        <v>118.8696299995319</v>
      </c>
      <c r="M322">
        <f t="shared" si="64"/>
        <v>0.39700000000448199</v>
      </c>
      <c r="N322">
        <f t="shared" si="65"/>
        <v>99.770070001126371</v>
      </c>
    </row>
    <row r="323" spans="1:14" x14ac:dyDescent="0.35">
      <c r="A323">
        <v>40996.324999999997</v>
      </c>
      <c r="B323">
        <v>40996.771999999997</v>
      </c>
      <c r="C323">
        <v>40997.273999999998</v>
      </c>
      <c r="D323">
        <v>40997.743999999999</v>
      </c>
      <c r="E323">
        <v>40998.146000000001</v>
      </c>
      <c r="G323">
        <f t="shared" si="58"/>
        <v>0.44700000000011642</v>
      </c>
      <c r="H323">
        <f t="shared" si="59"/>
        <v>112.33557000002926</v>
      </c>
      <c r="I323">
        <f t="shared" si="60"/>
        <v>0.50200000000040745</v>
      </c>
      <c r="J323">
        <f t="shared" si="61"/>
        <v>126.1576200001024</v>
      </c>
      <c r="K323">
        <f t="shared" si="62"/>
        <v>0.47000000000116415</v>
      </c>
      <c r="L323">
        <f t="shared" si="63"/>
        <v>118.11570000029256</v>
      </c>
      <c r="M323">
        <f t="shared" si="64"/>
        <v>0.40200000000186265</v>
      </c>
      <c r="N323">
        <f t="shared" si="65"/>
        <v>101.0266200004681</v>
      </c>
    </row>
    <row r="324" spans="1:14" x14ac:dyDescent="0.35">
      <c r="A324">
        <v>40997.413999999997</v>
      </c>
      <c r="B324">
        <v>40997.883000000002</v>
      </c>
      <c r="C324">
        <v>40998.366999999998</v>
      </c>
      <c r="D324">
        <v>40998.845999999998</v>
      </c>
      <c r="E324">
        <v>40999.245000000003</v>
      </c>
      <c r="G324">
        <f t="shared" ref="G324:G357" si="67">B324-A324</f>
        <v>0.46900000000459841</v>
      </c>
      <c r="H324">
        <f t="shared" ref="H324:H357" si="68">G324*251.31</f>
        <v>117.86439000115563</v>
      </c>
      <c r="I324">
        <f t="shared" ref="I324:I357" si="69">C324-B324</f>
        <v>0.48399999999674037</v>
      </c>
      <c r="J324">
        <f t="shared" ref="J324:J357" si="70">I324*251.31</f>
        <v>121.63403999918083</v>
      </c>
      <c r="K324">
        <f t="shared" ref="K324:K357" si="71">D324-C324</f>
        <v>0.47899999999935972</v>
      </c>
      <c r="L324">
        <f t="shared" ref="L324:L357" si="72">K324*251.31</f>
        <v>120.37748999983909</v>
      </c>
      <c r="M324">
        <f t="shared" ref="M324:M357" si="73">E324-D324</f>
        <v>0.39900000000488944</v>
      </c>
      <c r="N324">
        <f t="shared" ref="N324:N357" si="74">M324*251.31</f>
        <v>100.27269000122877</v>
      </c>
    </row>
    <row r="325" spans="1:14" x14ac:dyDescent="0.35">
      <c r="A325">
        <v>40998.504999999997</v>
      </c>
      <c r="B325">
        <v>40998.966999999997</v>
      </c>
      <c r="C325">
        <v>40999.457999999999</v>
      </c>
      <c r="D325">
        <v>40999.949000000001</v>
      </c>
      <c r="E325">
        <v>41000.330999999998</v>
      </c>
      <c r="G325">
        <f t="shared" si="67"/>
        <v>0.46199999999953434</v>
      </c>
      <c r="H325">
        <f t="shared" si="68"/>
        <v>116.10521999988298</v>
      </c>
      <c r="I325">
        <f t="shared" si="69"/>
        <v>0.49100000000180444</v>
      </c>
      <c r="J325">
        <f t="shared" si="70"/>
        <v>123.39321000045348</v>
      </c>
      <c r="K325">
        <f t="shared" si="71"/>
        <v>0.49100000000180444</v>
      </c>
      <c r="L325">
        <f t="shared" si="72"/>
        <v>123.39321000045348</v>
      </c>
      <c r="M325">
        <f t="shared" si="73"/>
        <v>0.38199999999778811</v>
      </c>
      <c r="N325">
        <f t="shared" si="74"/>
        <v>96.000419999444134</v>
      </c>
    </row>
    <row r="326" spans="1:14" x14ac:dyDescent="0.35">
      <c r="A326">
        <v>40999.591999999997</v>
      </c>
      <c r="B326">
        <v>41000.048999999999</v>
      </c>
      <c r="C326">
        <v>41000.550000000003</v>
      </c>
      <c r="D326">
        <v>41001.019999999997</v>
      </c>
      <c r="E326">
        <v>41001.415999999997</v>
      </c>
      <c r="G326">
        <f t="shared" si="67"/>
        <v>0.45700000000215368</v>
      </c>
      <c r="H326">
        <f t="shared" si="68"/>
        <v>114.84867000054125</v>
      </c>
      <c r="I326">
        <f t="shared" si="69"/>
        <v>0.50100000000384171</v>
      </c>
      <c r="J326">
        <f t="shared" si="70"/>
        <v>125.90631000096546</v>
      </c>
      <c r="K326">
        <f t="shared" si="71"/>
        <v>0.4699999999938882</v>
      </c>
      <c r="L326">
        <f t="shared" si="72"/>
        <v>118.11569999846404</v>
      </c>
      <c r="M326">
        <f t="shared" si="73"/>
        <v>0.39600000000064028</v>
      </c>
      <c r="N326">
        <f t="shared" si="74"/>
        <v>99.51876000016091</v>
      </c>
    </row>
    <row r="327" spans="1:14" x14ac:dyDescent="0.35">
      <c r="A327">
        <v>41000.68</v>
      </c>
      <c r="B327">
        <v>41001.160000000003</v>
      </c>
      <c r="C327">
        <v>41001.629999999997</v>
      </c>
      <c r="D327">
        <v>41002.110999999997</v>
      </c>
      <c r="E327">
        <v>41002.500999999997</v>
      </c>
      <c r="G327">
        <f t="shared" si="67"/>
        <v>0.48000000000320142</v>
      </c>
      <c r="H327">
        <f t="shared" si="68"/>
        <v>120.62880000080455</v>
      </c>
      <c r="I327">
        <f t="shared" si="69"/>
        <v>0.4699999999938882</v>
      </c>
      <c r="J327">
        <f t="shared" si="70"/>
        <v>118.11569999846404</v>
      </c>
      <c r="K327">
        <f t="shared" si="71"/>
        <v>0.48099999999976717</v>
      </c>
      <c r="L327">
        <f t="shared" si="72"/>
        <v>120.88010999994148</v>
      </c>
      <c r="M327">
        <f t="shared" si="73"/>
        <v>0.38999999999941792</v>
      </c>
      <c r="N327">
        <f t="shared" si="74"/>
        <v>98.01089999985372</v>
      </c>
    </row>
    <row r="328" spans="1:14" x14ac:dyDescent="0.35">
      <c r="A328">
        <v>41001.767999999996</v>
      </c>
      <c r="B328">
        <v>41002.233999999997</v>
      </c>
      <c r="C328">
        <v>41002.712</v>
      </c>
      <c r="D328">
        <v>41003.194000000003</v>
      </c>
      <c r="E328">
        <v>41003.589</v>
      </c>
      <c r="G328">
        <f t="shared" si="67"/>
        <v>0.46600000000034925</v>
      </c>
      <c r="H328">
        <f t="shared" si="68"/>
        <v>117.11046000008777</v>
      </c>
      <c r="I328">
        <f t="shared" si="69"/>
        <v>0.47800000000279397</v>
      </c>
      <c r="J328">
        <f t="shared" si="70"/>
        <v>120.12618000070215</v>
      </c>
      <c r="K328">
        <f t="shared" si="71"/>
        <v>0.48200000000360887</v>
      </c>
      <c r="L328">
        <f t="shared" si="72"/>
        <v>121.13142000090694</v>
      </c>
      <c r="M328">
        <f t="shared" si="73"/>
        <v>0.39499999999679858</v>
      </c>
      <c r="N328">
        <f t="shared" si="74"/>
        <v>99.267449999195449</v>
      </c>
    </row>
    <row r="329" spans="1:14" x14ac:dyDescent="0.35">
      <c r="A329">
        <v>41002.855000000003</v>
      </c>
      <c r="B329">
        <v>41003.324000000001</v>
      </c>
      <c r="C329">
        <v>41003.805</v>
      </c>
      <c r="D329">
        <v>41004.294999999998</v>
      </c>
      <c r="E329">
        <v>41004.678</v>
      </c>
      <c r="G329">
        <f t="shared" si="67"/>
        <v>0.46899999999732245</v>
      </c>
      <c r="H329">
        <f t="shared" si="68"/>
        <v>117.8643899993271</v>
      </c>
      <c r="I329">
        <f t="shared" si="69"/>
        <v>0.48099999999976717</v>
      </c>
      <c r="J329">
        <f t="shared" si="70"/>
        <v>120.88010999994148</v>
      </c>
      <c r="K329">
        <f t="shared" si="71"/>
        <v>0.48999999999796273</v>
      </c>
      <c r="L329">
        <f t="shared" si="72"/>
        <v>123.14189999948802</v>
      </c>
      <c r="M329">
        <f t="shared" si="73"/>
        <v>0.38300000000162981</v>
      </c>
      <c r="N329">
        <f t="shared" si="74"/>
        <v>96.251730000409594</v>
      </c>
    </row>
    <row r="330" spans="1:14" x14ac:dyDescent="0.35">
      <c r="A330">
        <v>41003.942000000003</v>
      </c>
      <c r="B330">
        <v>41004.406999999999</v>
      </c>
      <c r="C330">
        <v>41004.887000000002</v>
      </c>
      <c r="D330">
        <v>41005.377999999997</v>
      </c>
      <c r="E330">
        <v>41005.758000000002</v>
      </c>
      <c r="G330">
        <f t="shared" si="67"/>
        <v>0.46499999999650754</v>
      </c>
      <c r="H330">
        <f t="shared" si="68"/>
        <v>116.85914999912231</v>
      </c>
      <c r="I330">
        <f t="shared" si="69"/>
        <v>0.48000000000320142</v>
      </c>
      <c r="J330">
        <f t="shared" si="70"/>
        <v>120.62880000080455</v>
      </c>
      <c r="K330">
        <f t="shared" si="71"/>
        <v>0.49099999999452848</v>
      </c>
      <c r="L330">
        <f t="shared" si="72"/>
        <v>123.39320999862495</v>
      </c>
      <c r="M330">
        <f t="shared" si="73"/>
        <v>0.38000000000465661</v>
      </c>
      <c r="N330">
        <f t="shared" si="74"/>
        <v>95.497800001170248</v>
      </c>
    </row>
    <row r="331" spans="1:14" x14ac:dyDescent="0.35">
      <c r="A331">
        <v>41005.03</v>
      </c>
      <c r="B331">
        <v>41005.480000000003</v>
      </c>
      <c r="C331">
        <v>41005.978000000003</v>
      </c>
      <c r="D331">
        <v>41006.449999999997</v>
      </c>
      <c r="E331">
        <v>41006.847000000002</v>
      </c>
      <c r="G331">
        <f t="shared" si="67"/>
        <v>0.45000000000436557</v>
      </c>
      <c r="H331">
        <f t="shared" si="68"/>
        <v>113.08950000109711</v>
      </c>
      <c r="I331">
        <f t="shared" si="69"/>
        <v>0.49799999999959255</v>
      </c>
      <c r="J331">
        <f t="shared" si="70"/>
        <v>125.1523799998976</v>
      </c>
      <c r="K331">
        <f t="shared" si="71"/>
        <v>0.47199999999429565</v>
      </c>
      <c r="L331">
        <f t="shared" si="72"/>
        <v>118.61831999856643</v>
      </c>
      <c r="M331">
        <f t="shared" si="73"/>
        <v>0.39700000000448199</v>
      </c>
      <c r="N331">
        <f t="shared" si="74"/>
        <v>99.770070001126371</v>
      </c>
    </row>
    <row r="332" spans="1:14" x14ac:dyDescent="0.35">
      <c r="A332">
        <v>41006.120000000003</v>
      </c>
      <c r="B332">
        <v>41006.610999999997</v>
      </c>
      <c r="C332">
        <v>41007.082000000002</v>
      </c>
      <c r="D332">
        <v>41007.561000000002</v>
      </c>
      <c r="E332">
        <v>41007.955000000002</v>
      </c>
      <c r="G332">
        <f t="shared" si="67"/>
        <v>0.49099999999452848</v>
      </c>
      <c r="H332">
        <f t="shared" si="68"/>
        <v>123.39320999862495</v>
      </c>
      <c r="I332">
        <f t="shared" si="69"/>
        <v>0.47100000000500586</v>
      </c>
      <c r="J332">
        <f t="shared" si="70"/>
        <v>118.36701000125802</v>
      </c>
      <c r="K332">
        <f t="shared" si="71"/>
        <v>0.47899999999935972</v>
      </c>
      <c r="L332">
        <f t="shared" si="72"/>
        <v>120.37748999983909</v>
      </c>
      <c r="M332">
        <f t="shared" si="73"/>
        <v>0.39400000000023283</v>
      </c>
      <c r="N332">
        <f t="shared" si="74"/>
        <v>99.016140000058513</v>
      </c>
    </row>
    <row r="333" spans="1:14" x14ac:dyDescent="0.35">
      <c r="A333">
        <v>41007.209000000003</v>
      </c>
      <c r="B333">
        <v>41007.663</v>
      </c>
      <c r="C333">
        <v>41008.163</v>
      </c>
      <c r="D333">
        <v>41008.633000000002</v>
      </c>
      <c r="E333">
        <v>41009.023999999998</v>
      </c>
      <c r="G333">
        <f t="shared" si="67"/>
        <v>0.45399999999790452</v>
      </c>
      <c r="H333">
        <f t="shared" si="68"/>
        <v>114.09473999947339</v>
      </c>
      <c r="I333">
        <f t="shared" si="69"/>
        <v>0.5</v>
      </c>
      <c r="J333">
        <f t="shared" si="70"/>
        <v>125.655</v>
      </c>
      <c r="K333">
        <f t="shared" si="71"/>
        <v>0.47000000000116415</v>
      </c>
      <c r="L333">
        <f t="shared" si="72"/>
        <v>118.11570000029256</v>
      </c>
      <c r="M333">
        <f t="shared" si="73"/>
        <v>0.39099999999598367</v>
      </c>
      <c r="N333">
        <f t="shared" si="74"/>
        <v>98.262209998990656</v>
      </c>
    </row>
    <row r="334" spans="1:14" x14ac:dyDescent="0.35">
      <c r="A334">
        <v>41008.298000000003</v>
      </c>
      <c r="B334">
        <v>41008.754999999997</v>
      </c>
      <c r="C334">
        <v>41009.254999999997</v>
      </c>
      <c r="D334">
        <v>41009.726000000002</v>
      </c>
      <c r="E334">
        <v>41010.123</v>
      </c>
      <c r="G334">
        <f t="shared" si="67"/>
        <v>0.45699999999487773</v>
      </c>
      <c r="H334">
        <f t="shared" si="68"/>
        <v>114.84866999871272</v>
      </c>
      <c r="I334">
        <f t="shared" si="69"/>
        <v>0.5</v>
      </c>
      <c r="J334">
        <f t="shared" si="70"/>
        <v>125.655</v>
      </c>
      <c r="K334">
        <f t="shared" si="71"/>
        <v>0.47100000000500586</v>
      </c>
      <c r="L334">
        <f t="shared" si="72"/>
        <v>118.36701000125802</v>
      </c>
      <c r="M334">
        <f t="shared" si="73"/>
        <v>0.39699999999720603</v>
      </c>
      <c r="N334">
        <f t="shared" si="74"/>
        <v>99.770069999297846</v>
      </c>
    </row>
    <row r="335" spans="1:14" x14ac:dyDescent="0.35">
      <c r="A335">
        <v>41009.385000000002</v>
      </c>
      <c r="B335">
        <v>41009.845999999998</v>
      </c>
      <c r="C335">
        <v>41010.337</v>
      </c>
      <c r="D335">
        <v>41010.817999999999</v>
      </c>
      <c r="E335">
        <v>41011.214</v>
      </c>
      <c r="G335">
        <f t="shared" si="67"/>
        <v>0.46099999999569263</v>
      </c>
      <c r="H335">
        <f t="shared" si="68"/>
        <v>115.85390999891752</v>
      </c>
      <c r="I335">
        <f t="shared" si="69"/>
        <v>0.49100000000180444</v>
      </c>
      <c r="J335">
        <f t="shared" si="70"/>
        <v>123.39321000045348</v>
      </c>
      <c r="K335">
        <f t="shared" si="71"/>
        <v>0.48099999999976717</v>
      </c>
      <c r="L335">
        <f t="shared" si="72"/>
        <v>120.88010999994148</v>
      </c>
      <c r="M335">
        <f t="shared" si="73"/>
        <v>0.39600000000064028</v>
      </c>
      <c r="N335">
        <f t="shared" si="74"/>
        <v>99.51876000016091</v>
      </c>
    </row>
    <row r="336" spans="1:14" x14ac:dyDescent="0.35">
      <c r="A336">
        <v>41010.474000000002</v>
      </c>
      <c r="B336">
        <v>41010.938000000002</v>
      </c>
      <c r="C336">
        <v>41011.42</v>
      </c>
      <c r="D336">
        <v>41011.910000000003</v>
      </c>
      <c r="E336">
        <v>41012.292000000001</v>
      </c>
      <c r="G336">
        <f t="shared" si="67"/>
        <v>0.46399999999994179</v>
      </c>
      <c r="H336">
        <f t="shared" si="68"/>
        <v>116.60783999998537</v>
      </c>
      <c r="I336">
        <f t="shared" si="69"/>
        <v>0.48199999999633292</v>
      </c>
      <c r="J336">
        <f t="shared" si="70"/>
        <v>121.13141999907843</v>
      </c>
      <c r="K336">
        <f t="shared" si="71"/>
        <v>0.49000000000523869</v>
      </c>
      <c r="L336">
        <f t="shared" si="72"/>
        <v>123.14190000131654</v>
      </c>
      <c r="M336">
        <f t="shared" si="73"/>
        <v>0.38199999999778811</v>
      </c>
      <c r="N336">
        <f t="shared" si="74"/>
        <v>96.000419999444134</v>
      </c>
    </row>
    <row r="337" spans="1:14" x14ac:dyDescent="0.35">
      <c r="A337">
        <v>41011.561999999998</v>
      </c>
      <c r="B337">
        <v>41012.031999999999</v>
      </c>
      <c r="C337">
        <v>41012.510999999999</v>
      </c>
      <c r="D337">
        <v>41013.002</v>
      </c>
      <c r="E337">
        <v>41013.39</v>
      </c>
      <c r="G337">
        <f t="shared" si="67"/>
        <v>0.47000000000116415</v>
      </c>
      <c r="H337">
        <f t="shared" si="68"/>
        <v>118.11570000029256</v>
      </c>
      <c r="I337">
        <f t="shared" si="69"/>
        <v>0.47899999999935972</v>
      </c>
      <c r="J337">
        <f t="shared" si="70"/>
        <v>120.37748999983909</v>
      </c>
      <c r="K337">
        <f t="shared" si="71"/>
        <v>0.49100000000180444</v>
      </c>
      <c r="L337">
        <f t="shared" si="72"/>
        <v>123.39321000045348</v>
      </c>
      <c r="M337">
        <f t="shared" si="73"/>
        <v>0.38799999999901047</v>
      </c>
      <c r="N337">
        <f t="shared" si="74"/>
        <v>97.508279999751323</v>
      </c>
    </row>
    <row r="338" spans="1:14" x14ac:dyDescent="0.35">
      <c r="A338">
        <v>41012.650999999998</v>
      </c>
      <c r="B338">
        <v>41013.124000000003</v>
      </c>
      <c r="C338">
        <v>41013.603000000003</v>
      </c>
      <c r="D338">
        <v>41014.084000000003</v>
      </c>
      <c r="E338">
        <v>41014.474000000002</v>
      </c>
      <c r="G338">
        <f t="shared" si="67"/>
        <v>0.47300000000541331</v>
      </c>
      <c r="H338">
        <f t="shared" si="68"/>
        <v>118.86963000136042</v>
      </c>
      <c r="I338">
        <f t="shared" si="69"/>
        <v>0.47899999999935972</v>
      </c>
      <c r="J338">
        <f t="shared" si="70"/>
        <v>120.37748999983909</v>
      </c>
      <c r="K338">
        <f t="shared" si="71"/>
        <v>0.48099999999976717</v>
      </c>
      <c r="L338">
        <f t="shared" si="72"/>
        <v>120.88010999994148</v>
      </c>
      <c r="M338">
        <f t="shared" si="73"/>
        <v>0.38999999999941792</v>
      </c>
      <c r="N338">
        <f t="shared" si="74"/>
        <v>98.01089999985372</v>
      </c>
    </row>
    <row r="339" spans="1:14" x14ac:dyDescent="0.35">
      <c r="A339">
        <v>41013.741000000002</v>
      </c>
      <c r="B339">
        <v>41014.184999999998</v>
      </c>
      <c r="C339">
        <v>41014.686999999998</v>
      </c>
      <c r="D339">
        <v>41015.177000000003</v>
      </c>
      <c r="E339">
        <v>41015.557999999997</v>
      </c>
      <c r="G339">
        <f t="shared" si="67"/>
        <v>0.44399999999586726</v>
      </c>
      <c r="H339">
        <f t="shared" si="68"/>
        <v>111.58163999896141</v>
      </c>
      <c r="I339">
        <f t="shared" si="69"/>
        <v>0.50200000000040745</v>
      </c>
      <c r="J339">
        <f t="shared" si="70"/>
        <v>126.1576200001024</v>
      </c>
      <c r="K339">
        <f t="shared" si="71"/>
        <v>0.49000000000523869</v>
      </c>
      <c r="L339">
        <f t="shared" si="72"/>
        <v>123.14190000131654</v>
      </c>
      <c r="M339">
        <f t="shared" si="73"/>
        <v>0.3809999999939464</v>
      </c>
      <c r="N339">
        <f t="shared" si="74"/>
        <v>95.749109998478673</v>
      </c>
    </row>
    <row r="340" spans="1:14" x14ac:dyDescent="0.35">
      <c r="A340">
        <v>41014.83</v>
      </c>
      <c r="B340">
        <v>41015.277000000002</v>
      </c>
      <c r="C340">
        <v>41015.777999999998</v>
      </c>
      <c r="D340">
        <v>41016.267</v>
      </c>
      <c r="E340">
        <v>41016.650999999998</v>
      </c>
      <c r="G340">
        <f t="shared" si="67"/>
        <v>0.44700000000011642</v>
      </c>
      <c r="H340">
        <f t="shared" si="68"/>
        <v>112.33557000002926</v>
      </c>
      <c r="I340">
        <f t="shared" si="69"/>
        <v>0.50099999999656575</v>
      </c>
      <c r="J340">
        <f t="shared" si="70"/>
        <v>125.90630999913694</v>
      </c>
      <c r="K340">
        <f t="shared" si="71"/>
        <v>0.48900000000139698</v>
      </c>
      <c r="L340">
        <f t="shared" si="72"/>
        <v>122.89059000035108</v>
      </c>
      <c r="M340">
        <f t="shared" si="73"/>
        <v>0.38399999999819556</v>
      </c>
      <c r="N340">
        <f t="shared" si="74"/>
        <v>96.50303999954653</v>
      </c>
    </row>
    <row r="341" spans="1:14" x14ac:dyDescent="0.35">
      <c r="A341">
        <v>41015.917999999998</v>
      </c>
      <c r="B341">
        <v>41016.368000000002</v>
      </c>
      <c r="C341">
        <v>41016.870000000003</v>
      </c>
      <c r="D341">
        <v>41017.35</v>
      </c>
      <c r="E341">
        <v>41017.743999999999</v>
      </c>
      <c r="G341">
        <f t="shared" si="67"/>
        <v>0.45000000000436557</v>
      </c>
      <c r="H341">
        <f t="shared" si="68"/>
        <v>113.08950000109711</v>
      </c>
      <c r="I341">
        <f t="shared" si="69"/>
        <v>0.50200000000040745</v>
      </c>
      <c r="J341">
        <f t="shared" si="70"/>
        <v>126.1576200001024</v>
      </c>
      <c r="K341">
        <f t="shared" si="71"/>
        <v>0.47999999999592546</v>
      </c>
      <c r="L341">
        <f t="shared" si="72"/>
        <v>120.62879999897604</v>
      </c>
      <c r="M341">
        <f t="shared" si="73"/>
        <v>0.39400000000023283</v>
      </c>
      <c r="N341">
        <f t="shared" si="74"/>
        <v>99.016140000058513</v>
      </c>
    </row>
    <row r="342" spans="1:14" x14ac:dyDescent="0.35">
      <c r="A342">
        <v>41017.004999999997</v>
      </c>
      <c r="B342">
        <v>41017.451000000001</v>
      </c>
      <c r="C342">
        <v>41017.961000000003</v>
      </c>
      <c r="D342">
        <v>41018.432000000001</v>
      </c>
      <c r="E342">
        <v>41018.826999999997</v>
      </c>
      <c r="G342">
        <f t="shared" si="67"/>
        <v>0.44600000000355067</v>
      </c>
      <c r="H342">
        <f t="shared" si="68"/>
        <v>112.08426000089231</v>
      </c>
      <c r="I342">
        <f t="shared" si="69"/>
        <v>0.51000000000203727</v>
      </c>
      <c r="J342">
        <f t="shared" si="70"/>
        <v>128.168100000512</v>
      </c>
      <c r="K342">
        <f t="shared" si="71"/>
        <v>0.4709999999977299</v>
      </c>
      <c r="L342">
        <f t="shared" si="72"/>
        <v>118.3670099994295</v>
      </c>
      <c r="M342">
        <f t="shared" si="73"/>
        <v>0.39499999999679858</v>
      </c>
      <c r="N342">
        <f t="shared" si="74"/>
        <v>99.267449999195449</v>
      </c>
    </row>
    <row r="343" spans="1:14" x14ac:dyDescent="0.35">
      <c r="A343">
        <v>41018.091</v>
      </c>
      <c r="B343">
        <v>41018.542999999998</v>
      </c>
      <c r="C343">
        <v>41019.042000000001</v>
      </c>
      <c r="D343">
        <v>41019.525000000001</v>
      </c>
      <c r="E343">
        <v>41019.915999999997</v>
      </c>
      <c r="G343">
        <f t="shared" si="67"/>
        <v>0.45199999999749707</v>
      </c>
      <c r="H343">
        <f t="shared" si="68"/>
        <v>113.59211999937099</v>
      </c>
      <c r="I343">
        <f t="shared" si="69"/>
        <v>0.49900000000343425</v>
      </c>
      <c r="J343">
        <f t="shared" si="70"/>
        <v>125.40369000086307</v>
      </c>
      <c r="K343">
        <f t="shared" si="71"/>
        <v>0.48300000000017462</v>
      </c>
      <c r="L343">
        <f t="shared" si="72"/>
        <v>121.38273000004389</v>
      </c>
      <c r="M343">
        <f t="shared" si="73"/>
        <v>0.39099999999598367</v>
      </c>
      <c r="N343">
        <f t="shared" si="74"/>
        <v>98.262209998990656</v>
      </c>
    </row>
    <row r="344" spans="1:14" x14ac:dyDescent="0.35">
      <c r="A344">
        <v>41019.178999999996</v>
      </c>
      <c r="B344">
        <v>41019.663999999997</v>
      </c>
      <c r="C344">
        <v>41020.144</v>
      </c>
      <c r="D344">
        <v>41020.616000000002</v>
      </c>
      <c r="E344">
        <v>41021.008999999998</v>
      </c>
      <c r="G344">
        <f t="shared" si="67"/>
        <v>0.48500000000058208</v>
      </c>
      <c r="H344">
        <f t="shared" si="68"/>
        <v>121.88535000014629</v>
      </c>
      <c r="I344">
        <f t="shared" si="69"/>
        <v>0.48000000000320142</v>
      </c>
      <c r="J344">
        <f t="shared" si="70"/>
        <v>120.62880000080455</v>
      </c>
      <c r="K344">
        <f t="shared" si="71"/>
        <v>0.47200000000157161</v>
      </c>
      <c r="L344">
        <f t="shared" si="72"/>
        <v>118.61832000039496</v>
      </c>
      <c r="M344">
        <f t="shared" si="73"/>
        <v>0.39299999999639113</v>
      </c>
      <c r="N344">
        <f t="shared" si="74"/>
        <v>98.764829999093052</v>
      </c>
    </row>
    <row r="345" spans="1:14" x14ac:dyDescent="0.35">
      <c r="A345">
        <v>41020.267</v>
      </c>
      <c r="B345">
        <v>41020.718000000001</v>
      </c>
      <c r="C345">
        <v>41021.216</v>
      </c>
      <c r="D345">
        <v>41021.696000000004</v>
      </c>
      <c r="E345">
        <v>41022.086000000003</v>
      </c>
      <c r="G345">
        <f t="shared" si="67"/>
        <v>0.45100000000093132</v>
      </c>
      <c r="H345">
        <f t="shared" si="68"/>
        <v>113.34081000023406</v>
      </c>
      <c r="I345">
        <f t="shared" si="69"/>
        <v>0.49799999999959255</v>
      </c>
      <c r="J345">
        <f t="shared" si="70"/>
        <v>125.1523799998976</v>
      </c>
      <c r="K345">
        <f t="shared" si="71"/>
        <v>0.48000000000320142</v>
      </c>
      <c r="L345">
        <f t="shared" si="72"/>
        <v>120.62880000080455</v>
      </c>
      <c r="M345">
        <f t="shared" si="73"/>
        <v>0.38999999999941792</v>
      </c>
      <c r="N345">
        <f t="shared" si="74"/>
        <v>98.01089999985372</v>
      </c>
    </row>
    <row r="346" spans="1:14" x14ac:dyDescent="0.35">
      <c r="A346">
        <v>41032.222999999998</v>
      </c>
      <c r="B346">
        <v>41033.154000000002</v>
      </c>
      <c r="C346">
        <v>41034.313999999998</v>
      </c>
      <c r="D346">
        <v>41035.394</v>
      </c>
      <c r="E346">
        <v>41036.300999999999</v>
      </c>
      <c r="G346">
        <f t="shared" si="67"/>
        <v>0.93100000000413274</v>
      </c>
      <c r="H346">
        <f>G346*110.06</f>
        <v>102.46586000045485</v>
      </c>
      <c r="I346">
        <f t="shared" si="69"/>
        <v>1.1599999999962165</v>
      </c>
      <c r="J346">
        <f>I346*110.06</f>
        <v>127.6695999995836</v>
      </c>
      <c r="K346">
        <f t="shared" si="71"/>
        <v>1.0800000000017462</v>
      </c>
      <c r="L346">
        <f>K346*110.06</f>
        <v>118.86480000019219</v>
      </c>
      <c r="M346">
        <f t="shared" si="73"/>
        <v>0.9069999999992433</v>
      </c>
      <c r="N346">
        <f>M346*110.06</f>
        <v>99.824419999916714</v>
      </c>
    </row>
    <row r="347" spans="1:14" x14ac:dyDescent="0.35">
      <c r="A347">
        <v>41048.722999999998</v>
      </c>
      <c r="B347">
        <v>41049.171000000002</v>
      </c>
      <c r="C347">
        <v>41049.682000000001</v>
      </c>
      <c r="D347">
        <v>41050.142</v>
      </c>
      <c r="E347">
        <v>41050.544999999998</v>
      </c>
      <c r="G347">
        <f t="shared" si="67"/>
        <v>0.44800000000395812</v>
      </c>
      <c r="H347">
        <f t="shared" si="68"/>
        <v>112.58688000099471</v>
      </c>
      <c r="I347">
        <f t="shared" si="69"/>
        <v>0.51099999999860302</v>
      </c>
      <c r="J347">
        <f t="shared" si="70"/>
        <v>128.41940999964893</v>
      </c>
      <c r="K347">
        <f t="shared" si="71"/>
        <v>0.45999999999912689</v>
      </c>
      <c r="L347">
        <f t="shared" si="72"/>
        <v>115.60259999978058</v>
      </c>
      <c r="M347">
        <f t="shared" si="73"/>
        <v>0.40299999999842839</v>
      </c>
      <c r="N347">
        <f t="shared" si="74"/>
        <v>101.27792999960504</v>
      </c>
    </row>
    <row r="348" spans="1:14" x14ac:dyDescent="0.35">
      <c r="A348">
        <v>41049.809000000001</v>
      </c>
      <c r="B348">
        <v>41050.254999999997</v>
      </c>
      <c r="C348">
        <v>41050.752999999997</v>
      </c>
      <c r="D348">
        <v>41051.224999999999</v>
      </c>
      <c r="E348">
        <v>41051.623</v>
      </c>
      <c r="G348">
        <f t="shared" si="67"/>
        <v>0.44599999999627471</v>
      </c>
      <c r="H348">
        <f t="shared" si="68"/>
        <v>112.0842599990638</v>
      </c>
      <c r="I348">
        <f t="shared" si="69"/>
        <v>0.49799999999959255</v>
      </c>
      <c r="J348">
        <f t="shared" si="70"/>
        <v>125.1523799998976</v>
      </c>
      <c r="K348">
        <f t="shared" si="71"/>
        <v>0.47200000000157161</v>
      </c>
      <c r="L348">
        <f t="shared" si="72"/>
        <v>118.61832000039496</v>
      </c>
      <c r="M348">
        <f t="shared" si="73"/>
        <v>0.39800000000104774</v>
      </c>
      <c r="N348">
        <f t="shared" si="74"/>
        <v>100.02138000026331</v>
      </c>
    </row>
    <row r="349" spans="1:14" x14ac:dyDescent="0.35">
      <c r="A349">
        <v>41050.896000000001</v>
      </c>
      <c r="B349">
        <v>41051.355000000003</v>
      </c>
      <c r="C349">
        <v>41051.847000000002</v>
      </c>
      <c r="D349">
        <v>41052.328000000001</v>
      </c>
      <c r="E349">
        <v>41052.722999999998</v>
      </c>
      <c r="G349">
        <f t="shared" si="67"/>
        <v>0.45900000000256114</v>
      </c>
      <c r="H349">
        <f t="shared" si="68"/>
        <v>115.35129000064364</v>
      </c>
      <c r="I349">
        <f t="shared" si="69"/>
        <v>0.49199999999837019</v>
      </c>
      <c r="J349">
        <f t="shared" si="70"/>
        <v>123.64451999959041</v>
      </c>
      <c r="K349">
        <f t="shared" si="71"/>
        <v>0.48099999999976717</v>
      </c>
      <c r="L349">
        <f t="shared" si="72"/>
        <v>120.88010999994148</v>
      </c>
      <c r="M349">
        <f t="shared" si="73"/>
        <v>0.39499999999679858</v>
      </c>
      <c r="N349">
        <f t="shared" si="74"/>
        <v>99.267449999195449</v>
      </c>
    </row>
    <row r="350" spans="1:14" x14ac:dyDescent="0.35">
      <c r="A350">
        <v>41051.983</v>
      </c>
      <c r="B350">
        <v>41052.428</v>
      </c>
      <c r="C350">
        <v>41052.928</v>
      </c>
      <c r="D350">
        <v>41053.419000000002</v>
      </c>
      <c r="E350">
        <v>41053.815000000002</v>
      </c>
      <c r="G350">
        <f t="shared" si="67"/>
        <v>0.44499999999970896</v>
      </c>
      <c r="H350">
        <f t="shared" si="68"/>
        <v>111.83294999992685</v>
      </c>
      <c r="I350">
        <f t="shared" si="69"/>
        <v>0.5</v>
      </c>
      <c r="J350">
        <f t="shared" si="70"/>
        <v>125.655</v>
      </c>
      <c r="K350">
        <f t="shared" si="71"/>
        <v>0.49100000000180444</v>
      </c>
      <c r="L350">
        <f t="shared" si="72"/>
        <v>123.39321000045348</v>
      </c>
      <c r="M350">
        <f t="shared" si="73"/>
        <v>0.39600000000064028</v>
      </c>
      <c r="N350">
        <f t="shared" si="74"/>
        <v>99.51876000016091</v>
      </c>
    </row>
    <row r="351" spans="1:14" x14ac:dyDescent="0.35">
      <c r="A351">
        <v>41053.072</v>
      </c>
      <c r="B351">
        <v>41053.54</v>
      </c>
      <c r="C351">
        <v>41054.021000000001</v>
      </c>
      <c r="D351">
        <v>41054.5</v>
      </c>
      <c r="E351">
        <v>41054.89</v>
      </c>
      <c r="G351">
        <f t="shared" si="67"/>
        <v>0.4680000000007567</v>
      </c>
      <c r="H351">
        <f t="shared" si="68"/>
        <v>117.61308000019017</v>
      </c>
      <c r="I351">
        <f t="shared" si="69"/>
        <v>0.48099999999976717</v>
      </c>
      <c r="J351">
        <f t="shared" si="70"/>
        <v>120.88010999994148</v>
      </c>
      <c r="K351">
        <f t="shared" si="71"/>
        <v>0.47899999999935972</v>
      </c>
      <c r="L351">
        <f t="shared" si="72"/>
        <v>120.37748999983909</v>
      </c>
      <c r="M351">
        <f t="shared" si="73"/>
        <v>0.38999999999941792</v>
      </c>
      <c r="N351">
        <f t="shared" si="74"/>
        <v>98.01089999985372</v>
      </c>
    </row>
    <row r="352" spans="1:14" x14ac:dyDescent="0.35">
      <c r="A352">
        <v>41054.163</v>
      </c>
      <c r="B352">
        <v>41054.631000000001</v>
      </c>
      <c r="C352">
        <v>41055.120999999999</v>
      </c>
      <c r="D352">
        <v>41055.593000000001</v>
      </c>
      <c r="E352">
        <v>41055.99</v>
      </c>
      <c r="G352">
        <f t="shared" si="67"/>
        <v>0.4680000000007567</v>
      </c>
      <c r="H352">
        <f t="shared" si="68"/>
        <v>117.61308000019017</v>
      </c>
      <c r="I352">
        <f t="shared" si="69"/>
        <v>0.48999999999796273</v>
      </c>
      <c r="J352">
        <f t="shared" si="70"/>
        <v>123.14189999948802</v>
      </c>
      <c r="K352">
        <f t="shared" si="71"/>
        <v>0.47200000000157161</v>
      </c>
      <c r="L352">
        <f t="shared" si="72"/>
        <v>118.61832000039496</v>
      </c>
      <c r="M352">
        <f t="shared" si="73"/>
        <v>0.39699999999720603</v>
      </c>
      <c r="N352">
        <f t="shared" si="74"/>
        <v>99.770069999297846</v>
      </c>
    </row>
    <row r="353" spans="1:14" x14ac:dyDescent="0.35">
      <c r="A353">
        <v>41055.25</v>
      </c>
      <c r="B353">
        <v>41055.703000000001</v>
      </c>
      <c r="C353">
        <v>41056.195</v>
      </c>
      <c r="D353">
        <v>41056.673999999999</v>
      </c>
      <c r="E353">
        <v>41057.065999999999</v>
      </c>
      <c r="G353">
        <f t="shared" si="67"/>
        <v>0.45300000000133878</v>
      </c>
      <c r="H353">
        <f t="shared" si="68"/>
        <v>113.84343000033645</v>
      </c>
      <c r="I353">
        <f t="shared" si="69"/>
        <v>0.49199999999837019</v>
      </c>
      <c r="J353">
        <f t="shared" si="70"/>
        <v>123.64451999959041</v>
      </c>
      <c r="K353">
        <f t="shared" si="71"/>
        <v>0.47899999999935972</v>
      </c>
      <c r="L353">
        <f t="shared" si="72"/>
        <v>120.37748999983909</v>
      </c>
      <c r="M353">
        <f t="shared" si="73"/>
        <v>0.39199999999982538</v>
      </c>
      <c r="N353">
        <f t="shared" si="74"/>
        <v>98.513519999956117</v>
      </c>
    </row>
    <row r="354" spans="1:14" x14ac:dyDescent="0.35">
      <c r="A354">
        <v>41056.339</v>
      </c>
      <c r="B354">
        <v>41056.785000000003</v>
      </c>
      <c r="C354">
        <v>41057.286999999997</v>
      </c>
      <c r="D354">
        <v>41057.767</v>
      </c>
      <c r="E354">
        <v>41058.160000000003</v>
      </c>
      <c r="G354">
        <f t="shared" si="67"/>
        <v>0.44600000000355067</v>
      </c>
      <c r="H354">
        <f t="shared" si="68"/>
        <v>112.08426000089231</v>
      </c>
      <c r="I354">
        <f t="shared" si="69"/>
        <v>0.5019999999931315</v>
      </c>
      <c r="J354">
        <f t="shared" si="70"/>
        <v>126.15761999827387</v>
      </c>
      <c r="K354">
        <f t="shared" si="71"/>
        <v>0.48000000000320142</v>
      </c>
      <c r="L354">
        <f t="shared" si="72"/>
        <v>120.62880000080455</v>
      </c>
      <c r="M354">
        <f t="shared" si="73"/>
        <v>0.39300000000366708</v>
      </c>
      <c r="N354">
        <f t="shared" si="74"/>
        <v>98.764830000921577</v>
      </c>
    </row>
    <row r="355" spans="1:14" x14ac:dyDescent="0.35">
      <c r="A355">
        <v>41057.425999999999</v>
      </c>
      <c r="B355">
        <v>41057.877999999997</v>
      </c>
      <c r="C355">
        <v>41058.377</v>
      </c>
      <c r="D355">
        <v>41058.858999999997</v>
      </c>
      <c r="E355">
        <v>41059.252999999997</v>
      </c>
      <c r="G355">
        <f t="shared" si="67"/>
        <v>0.45199999999749707</v>
      </c>
      <c r="H355">
        <f t="shared" si="68"/>
        <v>113.59211999937099</v>
      </c>
      <c r="I355">
        <f t="shared" si="69"/>
        <v>0.49900000000343425</v>
      </c>
      <c r="J355">
        <f t="shared" si="70"/>
        <v>125.40369000086307</v>
      </c>
      <c r="K355">
        <f t="shared" si="71"/>
        <v>0.48199999999633292</v>
      </c>
      <c r="L355">
        <f t="shared" si="72"/>
        <v>121.13141999907843</v>
      </c>
      <c r="M355">
        <f t="shared" si="73"/>
        <v>0.39400000000023283</v>
      </c>
      <c r="N355">
        <f t="shared" si="74"/>
        <v>99.016140000058513</v>
      </c>
    </row>
    <row r="356" spans="1:14" x14ac:dyDescent="0.35">
      <c r="A356">
        <v>41058.514000000003</v>
      </c>
      <c r="B356">
        <v>41058.982000000004</v>
      </c>
      <c r="C356">
        <v>41059.470999999998</v>
      </c>
      <c r="D356">
        <v>41059.930999999997</v>
      </c>
      <c r="E356">
        <v>41060.330999999998</v>
      </c>
      <c r="G356">
        <f t="shared" si="67"/>
        <v>0.4680000000007567</v>
      </c>
      <c r="H356">
        <f t="shared" si="68"/>
        <v>117.61308000019017</v>
      </c>
      <c r="I356">
        <f t="shared" si="69"/>
        <v>0.48899999999412103</v>
      </c>
      <c r="J356">
        <f t="shared" si="70"/>
        <v>122.89058999852256</v>
      </c>
      <c r="K356">
        <f t="shared" si="71"/>
        <v>0.45999999999912689</v>
      </c>
      <c r="L356">
        <f t="shared" si="72"/>
        <v>115.60259999978058</v>
      </c>
      <c r="M356">
        <f t="shared" si="73"/>
        <v>0.40000000000145519</v>
      </c>
      <c r="N356">
        <f t="shared" si="74"/>
        <v>100.5240000003657</v>
      </c>
    </row>
    <row r="357" spans="1:14" x14ac:dyDescent="0.35">
      <c r="A357">
        <v>41059.601999999999</v>
      </c>
      <c r="B357">
        <v>41060.061000000002</v>
      </c>
      <c r="C357">
        <v>41060.550999999999</v>
      </c>
      <c r="D357">
        <v>41061.021000000001</v>
      </c>
      <c r="E357">
        <v>41061.42</v>
      </c>
      <c r="G357">
        <f t="shared" si="67"/>
        <v>0.45900000000256114</v>
      </c>
      <c r="H357">
        <f t="shared" si="68"/>
        <v>115.35129000064364</v>
      </c>
      <c r="I357">
        <f t="shared" si="69"/>
        <v>0.48999999999796273</v>
      </c>
      <c r="J357">
        <f t="shared" si="70"/>
        <v>123.14189999948802</v>
      </c>
      <c r="K357">
        <f t="shared" si="71"/>
        <v>0.47000000000116415</v>
      </c>
      <c r="L357">
        <f t="shared" si="72"/>
        <v>118.11570000029256</v>
      </c>
      <c r="M357">
        <f t="shared" si="73"/>
        <v>0.39899999999761349</v>
      </c>
      <c r="N357">
        <f t="shared" si="74"/>
        <v>100.27268999940024</v>
      </c>
    </row>
    <row r="358" spans="1:14" x14ac:dyDescent="0.35">
      <c r="H358">
        <f>AVERAGE(H3:H357)</f>
        <v>113.86952369019525</v>
      </c>
      <c r="J358">
        <f>AVERAGE(J3:J357)</f>
        <v>124.73297740836385</v>
      </c>
      <c r="L358">
        <f>AVERAGE(L3:L357)</f>
        <v>120.30082363391001</v>
      </c>
      <c r="N358">
        <f>AVERAGE(N3:N357)</f>
        <v>98.114885633718856</v>
      </c>
    </row>
  </sheetData>
  <mergeCells count="2">
    <mergeCell ref="B1:N1"/>
    <mergeCell ref="R1:A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7461-976F-4593-8BF1-092D8024FDF4}">
  <dimension ref="B1:U40"/>
  <sheetViews>
    <sheetView topLeftCell="A7" zoomScaleNormal="100" workbookViewId="0">
      <selection activeCell="M8" sqref="M8"/>
    </sheetView>
  </sheetViews>
  <sheetFormatPr defaultRowHeight="14.5" x14ac:dyDescent="0.35"/>
  <cols>
    <col min="1" max="1" width="3.7265625" customWidth="1"/>
    <col min="15" max="15" width="3.1796875" customWidth="1"/>
  </cols>
  <sheetData>
    <row r="1" spans="2:21" x14ac:dyDescent="0.35">
      <c r="I1" s="41" t="s">
        <v>376</v>
      </c>
      <c r="J1" s="41"/>
      <c r="K1" s="41"/>
      <c r="L1" s="41"/>
      <c r="M1" s="41"/>
      <c r="N1" s="41"/>
      <c r="P1" s="41" t="s">
        <v>381</v>
      </c>
      <c r="Q1" s="41"/>
      <c r="R1" s="41"/>
      <c r="S1" s="41"/>
      <c r="T1" s="41"/>
      <c r="U1" s="41"/>
    </row>
    <row r="2" spans="2:21" x14ac:dyDescent="0.35">
      <c r="I2" s="41" t="s">
        <v>368</v>
      </c>
      <c r="J2" s="41"/>
      <c r="K2" s="41" t="s">
        <v>369</v>
      </c>
      <c r="L2" s="41"/>
      <c r="M2" s="41"/>
      <c r="N2" s="41"/>
      <c r="P2" s="41" t="s">
        <v>368</v>
      </c>
      <c r="Q2" s="41"/>
      <c r="R2" s="41" t="s">
        <v>369</v>
      </c>
      <c r="S2" s="41"/>
      <c r="T2" s="41"/>
      <c r="U2" s="41"/>
    </row>
    <row r="3" spans="2:21" x14ac:dyDescent="0.35">
      <c r="B3" t="s">
        <v>382</v>
      </c>
      <c r="C3" t="s">
        <v>383</v>
      </c>
      <c r="H3" t="s">
        <v>367</v>
      </c>
      <c r="I3" t="s">
        <v>370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P3" t="s">
        <v>370</v>
      </c>
      <c r="Q3" t="s">
        <v>371</v>
      </c>
      <c r="R3" t="s">
        <v>372</v>
      </c>
      <c r="S3" t="s">
        <v>373</v>
      </c>
      <c r="T3" t="s">
        <v>374</v>
      </c>
      <c r="U3" t="s">
        <v>375</v>
      </c>
    </row>
    <row r="4" spans="2:21" x14ac:dyDescent="0.35">
      <c r="B4" s="42">
        <f>MAX(U4:U11)</f>
        <v>346.88</v>
      </c>
      <c r="C4" s="42">
        <f>MIN(U4:U11)</f>
        <v>345.6</v>
      </c>
      <c r="D4" s="42">
        <f>B4-C4</f>
        <v>1.2799999999999727</v>
      </c>
      <c r="E4" s="44" t="s">
        <v>377</v>
      </c>
      <c r="F4" s="30" t="s">
        <v>355</v>
      </c>
      <c r="G4" s="30" t="s">
        <v>356</v>
      </c>
      <c r="H4" s="30">
        <v>279.39999999999998</v>
      </c>
      <c r="I4" s="30">
        <v>1660</v>
      </c>
      <c r="J4" s="30">
        <v>1542</v>
      </c>
      <c r="K4" s="30">
        <v>1471</v>
      </c>
      <c r="L4" s="30">
        <v>1284</v>
      </c>
      <c r="M4" s="30">
        <v>1239</v>
      </c>
      <c r="N4" s="30">
        <v>1355</v>
      </c>
      <c r="O4" s="30"/>
      <c r="P4" s="30">
        <f>I4*0.108</f>
        <v>179.28</v>
      </c>
      <c r="Q4" s="30">
        <f>J4*0.108</f>
        <v>166.536</v>
      </c>
      <c r="R4" s="30">
        <f>K4*0.146</f>
        <v>214.76599999999999</v>
      </c>
      <c r="S4" s="30">
        <f>L4*0.146</f>
        <v>187.464</v>
      </c>
      <c r="T4" s="30">
        <f>M4*0.186</f>
        <v>230.45400000000001</v>
      </c>
      <c r="U4" s="30">
        <f>N4*0.256</f>
        <v>346.88</v>
      </c>
    </row>
    <row r="5" spans="2:21" x14ac:dyDescent="0.35">
      <c r="B5" s="42"/>
      <c r="C5" s="42"/>
      <c r="D5" s="42"/>
      <c r="E5" s="44"/>
      <c r="F5" t="s">
        <v>54</v>
      </c>
      <c r="G5" t="s">
        <v>356</v>
      </c>
      <c r="H5">
        <v>297</v>
      </c>
      <c r="I5">
        <v>1613</v>
      </c>
      <c r="J5">
        <v>1547</v>
      </c>
      <c r="K5">
        <v>1430</v>
      </c>
      <c r="L5">
        <v>1288</v>
      </c>
      <c r="M5">
        <v>1234</v>
      </c>
      <c r="N5">
        <v>1354</v>
      </c>
      <c r="P5">
        <f t="shared" ref="P5:P40" si="0">I5*0.108</f>
        <v>174.20400000000001</v>
      </c>
      <c r="Q5">
        <f t="shared" ref="Q5:Q40" si="1">J5*0.108</f>
        <v>167.07599999999999</v>
      </c>
      <c r="R5">
        <f t="shared" ref="R5:R40" si="2">K5*0.146</f>
        <v>208.78</v>
      </c>
      <c r="S5">
        <f t="shared" ref="S5:S40" si="3">L5*0.146</f>
        <v>188.048</v>
      </c>
      <c r="T5">
        <f t="shared" ref="T5:T40" si="4">M5*0.186</f>
        <v>229.524</v>
      </c>
      <c r="U5">
        <f t="shared" ref="U5:U40" si="5">N5*0.256</f>
        <v>346.62400000000002</v>
      </c>
    </row>
    <row r="6" spans="2:21" x14ac:dyDescent="0.35">
      <c r="B6" s="42"/>
      <c r="C6" s="42"/>
      <c r="D6" s="42"/>
      <c r="E6" s="44"/>
      <c r="F6" t="s">
        <v>357</v>
      </c>
      <c r="H6">
        <v>340.4</v>
      </c>
      <c r="I6">
        <v>1503</v>
      </c>
      <c r="J6">
        <v>1560</v>
      </c>
      <c r="K6">
        <v>1329</v>
      </c>
      <c r="L6">
        <v>1297</v>
      </c>
      <c r="M6">
        <v>1231</v>
      </c>
      <c r="N6">
        <v>1353</v>
      </c>
      <c r="P6">
        <f t="shared" si="0"/>
        <v>162.32400000000001</v>
      </c>
      <c r="Q6">
        <f t="shared" si="1"/>
        <v>168.48</v>
      </c>
      <c r="R6">
        <f t="shared" si="2"/>
        <v>194.03399999999999</v>
      </c>
      <c r="S6">
        <f t="shared" si="3"/>
        <v>189.36199999999999</v>
      </c>
      <c r="T6">
        <f t="shared" si="4"/>
        <v>228.96600000000001</v>
      </c>
      <c r="U6">
        <f t="shared" si="5"/>
        <v>346.36799999999999</v>
      </c>
    </row>
    <row r="7" spans="2:21" x14ac:dyDescent="0.35">
      <c r="B7" s="42"/>
      <c r="C7" s="42"/>
      <c r="D7" s="42"/>
      <c r="E7" s="44"/>
      <c r="F7" t="s">
        <v>358</v>
      </c>
      <c r="G7" t="s">
        <v>356</v>
      </c>
      <c r="H7">
        <v>355.6</v>
      </c>
      <c r="I7">
        <v>1503</v>
      </c>
      <c r="J7">
        <v>1564</v>
      </c>
      <c r="K7">
        <v>1294</v>
      </c>
      <c r="L7">
        <v>1300</v>
      </c>
      <c r="M7">
        <v>1234</v>
      </c>
      <c r="N7">
        <v>1352</v>
      </c>
      <c r="P7">
        <f t="shared" si="0"/>
        <v>162.32400000000001</v>
      </c>
      <c r="Q7">
        <f t="shared" si="1"/>
        <v>168.91200000000001</v>
      </c>
      <c r="R7">
        <f t="shared" si="2"/>
        <v>188.92399999999998</v>
      </c>
      <c r="S7">
        <f t="shared" si="3"/>
        <v>189.79999999999998</v>
      </c>
      <c r="T7">
        <f t="shared" si="4"/>
        <v>229.524</v>
      </c>
      <c r="U7">
        <f t="shared" si="5"/>
        <v>346.11200000000002</v>
      </c>
    </row>
    <row r="8" spans="2:21" x14ac:dyDescent="0.35">
      <c r="B8" s="42"/>
      <c r="C8" s="42"/>
      <c r="D8" s="42"/>
      <c r="E8" s="44"/>
      <c r="F8" t="s">
        <v>359</v>
      </c>
      <c r="G8" t="s">
        <v>356</v>
      </c>
      <c r="H8">
        <v>364</v>
      </c>
      <c r="I8">
        <v>1503</v>
      </c>
      <c r="J8">
        <v>1567</v>
      </c>
      <c r="K8">
        <v>1291</v>
      </c>
      <c r="L8">
        <v>1302</v>
      </c>
      <c r="M8">
        <v>1235</v>
      </c>
      <c r="N8">
        <v>1352</v>
      </c>
      <c r="P8">
        <f t="shared" si="0"/>
        <v>162.32400000000001</v>
      </c>
      <c r="Q8">
        <f t="shared" si="1"/>
        <v>169.23599999999999</v>
      </c>
      <c r="R8">
        <f t="shared" si="2"/>
        <v>188.48599999999999</v>
      </c>
      <c r="S8">
        <f t="shared" si="3"/>
        <v>190.09199999999998</v>
      </c>
      <c r="T8">
        <f t="shared" si="4"/>
        <v>229.71</v>
      </c>
      <c r="U8">
        <f t="shared" si="5"/>
        <v>346.11200000000002</v>
      </c>
    </row>
    <row r="9" spans="2:21" x14ac:dyDescent="0.35">
      <c r="B9" s="42"/>
      <c r="C9" s="42"/>
      <c r="D9" s="42"/>
      <c r="E9" s="44"/>
      <c r="F9" t="s">
        <v>360</v>
      </c>
      <c r="G9" t="s">
        <v>356</v>
      </c>
      <c r="H9">
        <v>390</v>
      </c>
      <c r="I9">
        <v>1547</v>
      </c>
      <c r="J9">
        <v>1599</v>
      </c>
      <c r="K9">
        <v>1330</v>
      </c>
      <c r="L9">
        <v>1322</v>
      </c>
      <c r="M9">
        <v>1247</v>
      </c>
      <c r="N9">
        <v>1351</v>
      </c>
      <c r="P9">
        <f t="shared" si="0"/>
        <v>167.07599999999999</v>
      </c>
      <c r="Q9">
        <f t="shared" si="1"/>
        <v>172.69200000000001</v>
      </c>
      <c r="R9">
        <f t="shared" si="2"/>
        <v>194.17999999999998</v>
      </c>
      <c r="S9">
        <f t="shared" si="3"/>
        <v>193.012</v>
      </c>
      <c r="T9">
        <f t="shared" si="4"/>
        <v>231.94200000000001</v>
      </c>
      <c r="U9">
        <f t="shared" si="5"/>
        <v>345.85599999999999</v>
      </c>
    </row>
    <row r="10" spans="2:21" x14ac:dyDescent="0.35">
      <c r="B10" s="42"/>
      <c r="C10" s="42"/>
      <c r="D10" s="42"/>
      <c r="E10" s="44"/>
      <c r="F10" t="s">
        <v>361</v>
      </c>
      <c r="G10" t="s">
        <v>356</v>
      </c>
      <c r="H10">
        <v>420</v>
      </c>
      <c r="I10">
        <v>1628</v>
      </c>
      <c r="J10">
        <v>1653</v>
      </c>
      <c r="K10">
        <v>1399</v>
      </c>
      <c r="L10">
        <v>1355</v>
      </c>
      <c r="M10">
        <v>1267</v>
      </c>
      <c r="N10">
        <v>1350</v>
      </c>
      <c r="P10">
        <f t="shared" si="0"/>
        <v>175.82399999999998</v>
      </c>
      <c r="Q10">
        <f t="shared" si="1"/>
        <v>178.524</v>
      </c>
      <c r="R10">
        <f t="shared" si="2"/>
        <v>204.25399999999999</v>
      </c>
      <c r="S10">
        <f t="shared" si="3"/>
        <v>197.82999999999998</v>
      </c>
      <c r="T10">
        <f t="shared" si="4"/>
        <v>235.66200000000001</v>
      </c>
      <c r="U10">
        <f t="shared" si="5"/>
        <v>345.6</v>
      </c>
    </row>
    <row r="11" spans="2:21" x14ac:dyDescent="0.35">
      <c r="B11" s="42"/>
      <c r="C11" s="42"/>
      <c r="D11" s="42"/>
      <c r="E11" s="44"/>
      <c r="F11" s="31" t="s">
        <v>362</v>
      </c>
      <c r="G11" s="31" t="s">
        <v>356</v>
      </c>
      <c r="H11" s="31">
        <v>431.8</v>
      </c>
      <c r="I11" s="31">
        <v>1659</v>
      </c>
      <c r="J11" s="31">
        <v>1675</v>
      </c>
      <c r="K11" s="31">
        <v>1426</v>
      </c>
      <c r="L11" s="31">
        <v>1367</v>
      </c>
      <c r="M11" s="31">
        <v>1274</v>
      </c>
      <c r="N11" s="31">
        <v>1350</v>
      </c>
      <c r="O11" s="31"/>
      <c r="P11" s="31">
        <f t="shared" si="0"/>
        <v>179.172</v>
      </c>
      <c r="Q11" s="31">
        <f t="shared" si="1"/>
        <v>180.9</v>
      </c>
      <c r="R11" s="31">
        <f t="shared" si="2"/>
        <v>208.196</v>
      </c>
      <c r="S11" s="31">
        <f t="shared" si="3"/>
        <v>199.58199999999999</v>
      </c>
      <c r="T11" s="31">
        <f t="shared" si="4"/>
        <v>236.964</v>
      </c>
      <c r="U11" s="31">
        <f t="shared" si="5"/>
        <v>345.6</v>
      </c>
    </row>
    <row r="12" spans="2:21" x14ac:dyDescent="0.35">
      <c r="B12" s="42">
        <f>MAX(U12:U24)</f>
        <v>379.64800000000002</v>
      </c>
      <c r="C12" s="42">
        <f>MIN(U12:U24)</f>
        <v>299.00799999999998</v>
      </c>
      <c r="D12" s="42">
        <f>B12-C12</f>
        <v>80.640000000000043</v>
      </c>
      <c r="E12" s="43" t="s">
        <v>378</v>
      </c>
      <c r="F12" t="s">
        <v>355</v>
      </c>
      <c r="G12" t="s">
        <v>356</v>
      </c>
      <c r="H12">
        <v>279.39999999999998</v>
      </c>
      <c r="I12">
        <v>2331</v>
      </c>
      <c r="J12">
        <v>1513</v>
      </c>
      <c r="K12">
        <v>1943</v>
      </c>
      <c r="L12">
        <v>1292</v>
      </c>
      <c r="M12">
        <v>1204</v>
      </c>
      <c r="N12">
        <v>1168</v>
      </c>
      <c r="P12">
        <f t="shared" si="0"/>
        <v>251.74799999999999</v>
      </c>
      <c r="Q12">
        <f t="shared" si="1"/>
        <v>163.404</v>
      </c>
      <c r="R12">
        <f t="shared" si="2"/>
        <v>283.678</v>
      </c>
      <c r="S12">
        <f t="shared" si="3"/>
        <v>188.63199999999998</v>
      </c>
      <c r="T12">
        <f t="shared" si="4"/>
        <v>223.94399999999999</v>
      </c>
      <c r="U12">
        <f t="shared" si="5"/>
        <v>299.00799999999998</v>
      </c>
    </row>
    <row r="13" spans="2:21" x14ac:dyDescent="0.35">
      <c r="B13" s="42"/>
      <c r="C13" s="42"/>
      <c r="D13" s="42"/>
      <c r="E13" s="44"/>
      <c r="F13" t="s">
        <v>54</v>
      </c>
      <c r="G13" t="s">
        <v>356</v>
      </c>
      <c r="H13">
        <v>297</v>
      </c>
      <c r="I13">
        <v>2362</v>
      </c>
      <c r="J13">
        <v>1518</v>
      </c>
      <c r="K13">
        <v>1963</v>
      </c>
      <c r="L13">
        <v>1296</v>
      </c>
      <c r="M13">
        <v>1207</v>
      </c>
      <c r="N13">
        <v>1170</v>
      </c>
      <c r="P13">
        <f t="shared" si="0"/>
        <v>255.096</v>
      </c>
      <c r="Q13">
        <f t="shared" si="1"/>
        <v>163.94399999999999</v>
      </c>
      <c r="R13">
        <f t="shared" si="2"/>
        <v>286.59799999999996</v>
      </c>
      <c r="S13">
        <f t="shared" si="3"/>
        <v>189.21599999999998</v>
      </c>
      <c r="T13">
        <f t="shared" si="4"/>
        <v>224.50200000000001</v>
      </c>
      <c r="U13">
        <f t="shared" si="5"/>
        <v>299.52</v>
      </c>
    </row>
    <row r="14" spans="2:21" x14ac:dyDescent="0.35">
      <c r="B14" s="42"/>
      <c r="C14" s="42"/>
      <c r="D14" s="42"/>
      <c r="E14" s="44"/>
      <c r="F14" t="s">
        <v>357</v>
      </c>
      <c r="H14">
        <v>340.4</v>
      </c>
      <c r="I14">
        <v>2440</v>
      </c>
      <c r="J14">
        <v>1530</v>
      </c>
      <c r="K14">
        <v>2015</v>
      </c>
      <c r="L14">
        <v>1305</v>
      </c>
      <c r="M14">
        <v>1214</v>
      </c>
      <c r="N14">
        <v>1176</v>
      </c>
      <c r="P14">
        <f t="shared" si="0"/>
        <v>263.52</v>
      </c>
      <c r="Q14">
        <f t="shared" si="1"/>
        <v>165.24</v>
      </c>
      <c r="R14">
        <f t="shared" si="2"/>
        <v>294.19</v>
      </c>
      <c r="S14">
        <f t="shared" si="3"/>
        <v>190.53</v>
      </c>
      <c r="T14">
        <f t="shared" si="4"/>
        <v>225.804</v>
      </c>
      <c r="U14">
        <f t="shared" si="5"/>
        <v>301.05599999999998</v>
      </c>
    </row>
    <row r="15" spans="2:21" x14ac:dyDescent="0.35">
      <c r="B15" s="42"/>
      <c r="C15" s="42"/>
      <c r="D15" s="42"/>
      <c r="E15" s="44"/>
      <c r="F15" t="s">
        <v>358</v>
      </c>
      <c r="G15" t="s">
        <v>356</v>
      </c>
      <c r="H15">
        <v>355.6</v>
      </c>
      <c r="I15">
        <v>2467</v>
      </c>
      <c r="J15">
        <v>1535</v>
      </c>
      <c r="K15">
        <v>2033</v>
      </c>
      <c r="L15">
        <v>1308</v>
      </c>
      <c r="M15">
        <v>1217</v>
      </c>
      <c r="N15">
        <v>1177</v>
      </c>
      <c r="P15">
        <f t="shared" si="0"/>
        <v>266.43599999999998</v>
      </c>
      <c r="Q15">
        <f t="shared" si="1"/>
        <v>165.78</v>
      </c>
      <c r="R15">
        <f t="shared" si="2"/>
        <v>296.81799999999998</v>
      </c>
      <c r="S15">
        <f t="shared" si="3"/>
        <v>190.96799999999999</v>
      </c>
      <c r="T15">
        <f t="shared" si="4"/>
        <v>226.36199999999999</v>
      </c>
      <c r="U15">
        <f t="shared" si="5"/>
        <v>301.31200000000001</v>
      </c>
    </row>
    <row r="16" spans="2:21" x14ac:dyDescent="0.35">
      <c r="B16" s="42"/>
      <c r="C16" s="42"/>
      <c r="D16" s="42"/>
      <c r="E16" s="44"/>
      <c r="F16" t="s">
        <v>359</v>
      </c>
      <c r="G16" t="s">
        <v>356</v>
      </c>
      <c r="H16">
        <v>364</v>
      </c>
      <c r="I16">
        <v>2482</v>
      </c>
      <c r="J16">
        <v>1537</v>
      </c>
      <c r="K16">
        <v>2043</v>
      </c>
      <c r="L16">
        <v>1310</v>
      </c>
      <c r="M16">
        <v>1218</v>
      </c>
      <c r="N16">
        <v>1178</v>
      </c>
      <c r="P16">
        <f t="shared" si="0"/>
        <v>268.05599999999998</v>
      </c>
      <c r="Q16">
        <f t="shared" si="1"/>
        <v>165.99600000000001</v>
      </c>
      <c r="R16">
        <f t="shared" si="2"/>
        <v>298.27799999999996</v>
      </c>
      <c r="S16">
        <f t="shared" si="3"/>
        <v>191.26</v>
      </c>
      <c r="T16">
        <f t="shared" si="4"/>
        <v>226.548</v>
      </c>
      <c r="U16">
        <f t="shared" si="5"/>
        <v>301.56799999999998</v>
      </c>
    </row>
    <row r="17" spans="2:21" x14ac:dyDescent="0.35">
      <c r="B17" s="42"/>
      <c r="C17" s="42"/>
      <c r="D17" s="42"/>
      <c r="E17" s="44"/>
      <c r="F17" t="s">
        <v>360</v>
      </c>
      <c r="G17" t="s">
        <v>356</v>
      </c>
      <c r="H17">
        <v>390</v>
      </c>
      <c r="I17">
        <v>2529</v>
      </c>
      <c r="J17">
        <v>1531</v>
      </c>
      <c r="K17">
        <v>2074</v>
      </c>
      <c r="L17">
        <v>1310</v>
      </c>
      <c r="M17">
        <v>1219</v>
      </c>
      <c r="N17">
        <v>1187</v>
      </c>
      <c r="P17">
        <f t="shared" si="0"/>
        <v>273.13200000000001</v>
      </c>
      <c r="Q17">
        <f t="shared" si="1"/>
        <v>165.34799999999998</v>
      </c>
      <c r="R17">
        <f t="shared" si="2"/>
        <v>302.80399999999997</v>
      </c>
      <c r="S17">
        <f t="shared" si="3"/>
        <v>191.26</v>
      </c>
      <c r="T17">
        <f t="shared" si="4"/>
        <v>226.73400000000001</v>
      </c>
      <c r="U17">
        <f t="shared" si="5"/>
        <v>303.87200000000001</v>
      </c>
    </row>
    <row r="18" spans="2:21" x14ac:dyDescent="0.35">
      <c r="B18" s="42"/>
      <c r="C18" s="42"/>
      <c r="D18" s="42"/>
      <c r="E18" s="44"/>
      <c r="F18" t="s">
        <v>361</v>
      </c>
      <c r="G18" t="s">
        <v>356</v>
      </c>
      <c r="H18">
        <v>420</v>
      </c>
      <c r="I18">
        <v>2583</v>
      </c>
      <c r="J18">
        <v>1478</v>
      </c>
      <c r="K18">
        <v>2110</v>
      </c>
      <c r="L18">
        <v>1290</v>
      </c>
      <c r="M18">
        <v>1210</v>
      </c>
      <c r="N18">
        <v>1186</v>
      </c>
      <c r="P18">
        <f t="shared" si="0"/>
        <v>278.964</v>
      </c>
      <c r="Q18">
        <f t="shared" si="1"/>
        <v>159.624</v>
      </c>
      <c r="R18">
        <f t="shared" si="2"/>
        <v>308.06</v>
      </c>
      <c r="S18">
        <f t="shared" si="3"/>
        <v>188.33999999999997</v>
      </c>
      <c r="T18">
        <f t="shared" si="4"/>
        <v>225.06</v>
      </c>
      <c r="U18">
        <f t="shared" si="5"/>
        <v>303.61599999999999</v>
      </c>
    </row>
    <row r="19" spans="2:21" x14ac:dyDescent="0.35">
      <c r="B19" s="42"/>
      <c r="C19" s="42"/>
      <c r="D19" s="42"/>
      <c r="E19" s="44"/>
      <c r="F19" t="s">
        <v>362</v>
      </c>
      <c r="G19" t="s">
        <v>356</v>
      </c>
      <c r="H19">
        <v>431.8</v>
      </c>
      <c r="I19">
        <v>2604</v>
      </c>
      <c r="J19">
        <v>1459</v>
      </c>
      <c r="K19">
        <v>2124</v>
      </c>
      <c r="L19">
        <v>1283</v>
      </c>
      <c r="M19">
        <v>1207</v>
      </c>
      <c r="N19">
        <v>1186</v>
      </c>
      <c r="P19">
        <f t="shared" si="0"/>
        <v>281.23199999999997</v>
      </c>
      <c r="Q19">
        <f t="shared" si="1"/>
        <v>157.572</v>
      </c>
      <c r="R19">
        <f t="shared" si="2"/>
        <v>310.10399999999998</v>
      </c>
      <c r="S19">
        <f t="shared" si="3"/>
        <v>187.31799999999998</v>
      </c>
      <c r="T19">
        <f t="shared" si="4"/>
        <v>224.50200000000001</v>
      </c>
      <c r="U19">
        <f t="shared" si="5"/>
        <v>303.61599999999999</v>
      </c>
    </row>
    <row r="20" spans="2:21" x14ac:dyDescent="0.35">
      <c r="B20" s="42"/>
      <c r="C20" s="42"/>
      <c r="D20" s="42"/>
      <c r="E20" s="44"/>
      <c r="F20" t="s">
        <v>363</v>
      </c>
      <c r="G20" t="s">
        <v>356</v>
      </c>
      <c r="H20">
        <v>450</v>
      </c>
      <c r="I20">
        <v>2636</v>
      </c>
      <c r="J20">
        <v>1495</v>
      </c>
      <c r="K20">
        <v>2146</v>
      </c>
      <c r="L20">
        <v>1271</v>
      </c>
      <c r="M20">
        <v>1200</v>
      </c>
      <c r="N20">
        <v>1185</v>
      </c>
      <c r="P20">
        <f t="shared" si="0"/>
        <v>284.68799999999999</v>
      </c>
      <c r="Q20">
        <f t="shared" si="1"/>
        <v>161.46</v>
      </c>
      <c r="R20">
        <f t="shared" si="2"/>
        <v>313.31599999999997</v>
      </c>
      <c r="S20">
        <f t="shared" si="3"/>
        <v>185.566</v>
      </c>
      <c r="T20">
        <f t="shared" si="4"/>
        <v>223.2</v>
      </c>
      <c r="U20">
        <f t="shared" si="5"/>
        <v>303.36</v>
      </c>
    </row>
    <row r="21" spans="2:21" x14ac:dyDescent="0.35">
      <c r="B21" s="42"/>
      <c r="C21" s="42"/>
      <c r="D21" s="42"/>
      <c r="E21" s="44"/>
      <c r="F21" t="s">
        <v>364</v>
      </c>
      <c r="G21" t="s">
        <v>356</v>
      </c>
      <c r="H21">
        <v>457</v>
      </c>
      <c r="I21">
        <v>2649</v>
      </c>
      <c r="J21">
        <v>1512</v>
      </c>
      <c r="K21">
        <v>2154</v>
      </c>
      <c r="L21">
        <v>1266</v>
      </c>
      <c r="M21">
        <v>1198</v>
      </c>
      <c r="N21">
        <v>1185</v>
      </c>
      <c r="P21">
        <f t="shared" si="0"/>
        <v>286.09199999999998</v>
      </c>
      <c r="Q21">
        <f t="shared" si="1"/>
        <v>163.29599999999999</v>
      </c>
      <c r="R21">
        <f t="shared" si="2"/>
        <v>314.48399999999998</v>
      </c>
      <c r="S21">
        <f t="shared" si="3"/>
        <v>184.83599999999998</v>
      </c>
      <c r="T21">
        <f t="shared" si="4"/>
        <v>222.828</v>
      </c>
      <c r="U21">
        <f t="shared" si="5"/>
        <v>303.36</v>
      </c>
    </row>
    <row r="22" spans="2:21" x14ac:dyDescent="0.35">
      <c r="B22" s="42"/>
      <c r="C22" s="42"/>
      <c r="D22" s="42"/>
      <c r="E22" s="44"/>
      <c r="F22" s="32" t="s">
        <v>54</v>
      </c>
      <c r="G22" s="32" t="s">
        <v>365</v>
      </c>
      <c r="H22" s="32">
        <v>210</v>
      </c>
      <c r="I22" s="32">
        <v>2206</v>
      </c>
      <c r="J22" s="32">
        <v>1716</v>
      </c>
      <c r="K22" s="32">
        <v>1860</v>
      </c>
      <c r="L22" s="32">
        <v>1643</v>
      </c>
      <c r="M22" s="32">
        <v>1475</v>
      </c>
      <c r="N22" s="32">
        <v>1453</v>
      </c>
      <c r="O22" s="32"/>
      <c r="P22" s="32">
        <f t="shared" si="0"/>
        <v>238.24799999999999</v>
      </c>
      <c r="Q22" s="32">
        <f t="shared" si="1"/>
        <v>185.328</v>
      </c>
      <c r="R22" s="32">
        <f t="shared" si="2"/>
        <v>271.56</v>
      </c>
      <c r="S22" s="32">
        <f t="shared" si="3"/>
        <v>239.87799999999999</v>
      </c>
      <c r="T22" s="32">
        <f t="shared" si="4"/>
        <v>274.35000000000002</v>
      </c>
      <c r="U22" s="32">
        <f t="shared" si="5"/>
        <v>371.96800000000002</v>
      </c>
    </row>
    <row r="23" spans="2:21" x14ac:dyDescent="0.35">
      <c r="B23" s="42"/>
      <c r="C23" s="42"/>
      <c r="D23" s="42"/>
      <c r="E23" s="44"/>
      <c r="F23" t="s">
        <v>355</v>
      </c>
      <c r="G23" t="s">
        <v>365</v>
      </c>
      <c r="H23">
        <v>215.9</v>
      </c>
      <c r="I23">
        <v>2217</v>
      </c>
      <c r="J23">
        <v>1722</v>
      </c>
      <c r="K23">
        <v>1867</v>
      </c>
      <c r="L23">
        <v>1647</v>
      </c>
      <c r="M23">
        <v>1479</v>
      </c>
      <c r="N23">
        <v>1456</v>
      </c>
      <c r="P23">
        <f t="shared" si="0"/>
        <v>239.43600000000001</v>
      </c>
      <c r="Q23">
        <f t="shared" si="1"/>
        <v>185.976</v>
      </c>
      <c r="R23">
        <f t="shared" si="2"/>
        <v>272.58199999999999</v>
      </c>
      <c r="S23">
        <f t="shared" si="3"/>
        <v>240.46199999999999</v>
      </c>
      <c r="T23">
        <f t="shared" si="4"/>
        <v>275.09399999999999</v>
      </c>
      <c r="U23">
        <f t="shared" si="5"/>
        <v>372.73599999999999</v>
      </c>
    </row>
    <row r="24" spans="2:21" x14ac:dyDescent="0.35">
      <c r="B24" s="42"/>
      <c r="C24" s="42"/>
      <c r="D24" s="42"/>
      <c r="E24" s="44"/>
      <c r="F24" t="s">
        <v>366</v>
      </c>
      <c r="G24" t="s">
        <v>356</v>
      </c>
      <c r="H24">
        <v>257</v>
      </c>
      <c r="I24">
        <v>2290</v>
      </c>
      <c r="J24">
        <v>1761</v>
      </c>
      <c r="K24">
        <v>1916</v>
      </c>
      <c r="L24">
        <v>1678</v>
      </c>
      <c r="M24">
        <v>1505</v>
      </c>
      <c r="N24">
        <v>1483</v>
      </c>
      <c r="P24">
        <f t="shared" si="0"/>
        <v>247.32</v>
      </c>
      <c r="Q24">
        <f t="shared" si="1"/>
        <v>190.18799999999999</v>
      </c>
      <c r="R24">
        <f t="shared" si="2"/>
        <v>279.73599999999999</v>
      </c>
      <c r="S24">
        <f t="shared" si="3"/>
        <v>244.98799999999997</v>
      </c>
      <c r="T24">
        <f t="shared" si="4"/>
        <v>279.93</v>
      </c>
      <c r="U24">
        <f t="shared" si="5"/>
        <v>379.64800000000002</v>
      </c>
    </row>
    <row r="25" spans="2:21" x14ac:dyDescent="0.35">
      <c r="B25" s="42">
        <f>MAX(U25:U32)</f>
        <v>424.19200000000001</v>
      </c>
      <c r="C25" s="42">
        <f>MIN(U25:U32)</f>
        <v>407.55200000000002</v>
      </c>
      <c r="D25" s="42">
        <f>B25-C25</f>
        <v>16.639999999999986</v>
      </c>
      <c r="E25" s="43" t="s">
        <v>379</v>
      </c>
      <c r="F25" s="30" t="s">
        <v>355</v>
      </c>
      <c r="G25" s="30" t="s">
        <v>356</v>
      </c>
      <c r="H25" s="30">
        <v>279.39999999999998</v>
      </c>
      <c r="I25" s="30">
        <v>2395</v>
      </c>
      <c r="J25" s="30">
        <v>1919</v>
      </c>
      <c r="K25" s="30">
        <v>1840</v>
      </c>
      <c r="L25" s="30">
        <v>1501</v>
      </c>
      <c r="M25" s="30">
        <v>1538</v>
      </c>
      <c r="N25" s="30">
        <v>1600</v>
      </c>
      <c r="O25" s="30"/>
      <c r="P25" s="30">
        <f t="shared" si="0"/>
        <v>258.66000000000003</v>
      </c>
      <c r="Q25" s="30">
        <f t="shared" si="1"/>
        <v>207.25200000000001</v>
      </c>
      <c r="R25" s="30">
        <f t="shared" si="2"/>
        <v>268.64</v>
      </c>
      <c r="S25" s="30">
        <f t="shared" si="3"/>
        <v>219.14599999999999</v>
      </c>
      <c r="T25" s="30">
        <f t="shared" si="4"/>
        <v>286.06799999999998</v>
      </c>
      <c r="U25" s="30">
        <f t="shared" si="5"/>
        <v>409.6</v>
      </c>
    </row>
    <row r="26" spans="2:21" x14ac:dyDescent="0.35">
      <c r="B26" s="42"/>
      <c r="C26" s="42"/>
      <c r="D26" s="42"/>
      <c r="E26" s="44"/>
      <c r="F26" t="s">
        <v>54</v>
      </c>
      <c r="G26" t="s">
        <v>356</v>
      </c>
      <c r="H26">
        <v>297</v>
      </c>
      <c r="I26">
        <v>2372</v>
      </c>
      <c r="J26">
        <v>1900</v>
      </c>
      <c r="K26">
        <v>1812</v>
      </c>
      <c r="L26">
        <v>1508</v>
      </c>
      <c r="M26">
        <v>1517</v>
      </c>
      <c r="N26">
        <v>1592</v>
      </c>
      <c r="P26">
        <f t="shared" si="0"/>
        <v>256.17599999999999</v>
      </c>
      <c r="Q26">
        <f t="shared" si="1"/>
        <v>205.2</v>
      </c>
      <c r="R26">
        <f t="shared" si="2"/>
        <v>264.55199999999996</v>
      </c>
      <c r="S26">
        <f t="shared" si="3"/>
        <v>220.16799999999998</v>
      </c>
      <c r="T26">
        <f t="shared" si="4"/>
        <v>282.16199999999998</v>
      </c>
      <c r="U26">
        <f t="shared" si="5"/>
        <v>407.55200000000002</v>
      </c>
    </row>
    <row r="27" spans="2:21" x14ac:dyDescent="0.35">
      <c r="B27" s="42"/>
      <c r="C27" s="42"/>
      <c r="D27" s="42"/>
      <c r="E27" s="44"/>
      <c r="F27" t="s">
        <v>357</v>
      </c>
      <c r="H27">
        <v>340.4</v>
      </c>
      <c r="I27">
        <v>2316</v>
      </c>
      <c r="J27">
        <v>1853</v>
      </c>
      <c r="K27">
        <v>1746</v>
      </c>
      <c r="L27">
        <v>1525</v>
      </c>
      <c r="M27">
        <v>1499</v>
      </c>
      <c r="N27">
        <v>1595</v>
      </c>
      <c r="P27">
        <f t="shared" si="0"/>
        <v>250.12799999999999</v>
      </c>
      <c r="Q27">
        <f t="shared" si="1"/>
        <v>200.124</v>
      </c>
      <c r="R27">
        <f t="shared" si="2"/>
        <v>254.916</v>
      </c>
      <c r="S27">
        <f t="shared" si="3"/>
        <v>222.64999999999998</v>
      </c>
      <c r="T27">
        <f t="shared" si="4"/>
        <v>278.81400000000002</v>
      </c>
      <c r="U27">
        <f t="shared" si="5"/>
        <v>408.32</v>
      </c>
    </row>
    <row r="28" spans="2:21" x14ac:dyDescent="0.35">
      <c r="B28" s="42"/>
      <c r="C28" s="42"/>
      <c r="D28" s="42"/>
      <c r="E28" s="44"/>
      <c r="F28" s="32" t="s">
        <v>358</v>
      </c>
      <c r="G28" s="32" t="s">
        <v>356</v>
      </c>
      <c r="H28" s="32">
        <v>355.6</v>
      </c>
      <c r="I28" s="32">
        <v>2296</v>
      </c>
      <c r="J28" s="32">
        <v>1836</v>
      </c>
      <c r="K28" s="32">
        <v>1761</v>
      </c>
      <c r="L28" s="32">
        <v>1531</v>
      </c>
      <c r="M28" s="32">
        <v>1507</v>
      </c>
      <c r="N28" s="32">
        <v>1605</v>
      </c>
      <c r="O28" s="32"/>
      <c r="P28" s="32">
        <f t="shared" si="0"/>
        <v>247.96799999999999</v>
      </c>
      <c r="Q28" s="32">
        <f t="shared" si="1"/>
        <v>198.28800000000001</v>
      </c>
      <c r="R28" s="32">
        <f t="shared" si="2"/>
        <v>257.10599999999999</v>
      </c>
      <c r="S28" s="32">
        <f t="shared" si="3"/>
        <v>223.52599999999998</v>
      </c>
      <c r="T28" s="32">
        <f t="shared" si="4"/>
        <v>280.30200000000002</v>
      </c>
      <c r="U28" s="32">
        <f t="shared" si="5"/>
        <v>410.88</v>
      </c>
    </row>
    <row r="29" spans="2:21" x14ac:dyDescent="0.35">
      <c r="B29" s="42"/>
      <c r="C29" s="42"/>
      <c r="D29" s="42"/>
      <c r="E29" s="44"/>
      <c r="F29" t="s">
        <v>359</v>
      </c>
      <c r="G29" t="s">
        <v>356</v>
      </c>
      <c r="H29">
        <v>364</v>
      </c>
      <c r="I29">
        <v>2298</v>
      </c>
      <c r="J29">
        <v>1827</v>
      </c>
      <c r="K29">
        <v>1774</v>
      </c>
      <c r="L29">
        <v>1534</v>
      </c>
      <c r="M29">
        <v>1511</v>
      </c>
      <c r="N29">
        <v>1611</v>
      </c>
      <c r="P29">
        <f t="shared" si="0"/>
        <v>248.184</v>
      </c>
      <c r="Q29">
        <f t="shared" si="1"/>
        <v>197.316</v>
      </c>
      <c r="R29">
        <f t="shared" si="2"/>
        <v>259.00399999999996</v>
      </c>
      <c r="S29">
        <f t="shared" si="3"/>
        <v>223.964</v>
      </c>
      <c r="T29">
        <f t="shared" si="4"/>
        <v>281.04599999999999</v>
      </c>
      <c r="U29">
        <f t="shared" si="5"/>
        <v>412.416</v>
      </c>
    </row>
    <row r="30" spans="2:21" x14ac:dyDescent="0.35">
      <c r="B30" s="42"/>
      <c r="C30" s="42"/>
      <c r="D30" s="42"/>
      <c r="E30" s="44"/>
      <c r="F30" t="s">
        <v>360</v>
      </c>
      <c r="G30" t="s">
        <v>356</v>
      </c>
      <c r="H30">
        <v>390</v>
      </c>
      <c r="I30">
        <v>2332</v>
      </c>
      <c r="J30">
        <v>1799</v>
      </c>
      <c r="K30">
        <v>1814</v>
      </c>
      <c r="L30">
        <v>1544</v>
      </c>
      <c r="M30">
        <v>1524</v>
      </c>
      <c r="N30">
        <v>1628</v>
      </c>
      <c r="P30">
        <f t="shared" si="0"/>
        <v>251.85599999999999</v>
      </c>
      <c r="Q30">
        <f t="shared" si="1"/>
        <v>194.292</v>
      </c>
      <c r="R30">
        <f t="shared" si="2"/>
        <v>264.84399999999999</v>
      </c>
      <c r="S30">
        <f t="shared" si="3"/>
        <v>225.42399999999998</v>
      </c>
      <c r="T30">
        <f t="shared" si="4"/>
        <v>283.464</v>
      </c>
      <c r="U30">
        <f t="shared" si="5"/>
        <v>416.76800000000003</v>
      </c>
    </row>
    <row r="31" spans="2:21" x14ac:dyDescent="0.35">
      <c r="B31" s="42"/>
      <c r="C31" s="42"/>
      <c r="D31" s="42"/>
      <c r="E31" s="44"/>
      <c r="F31" t="s">
        <v>361</v>
      </c>
      <c r="G31" t="s">
        <v>356</v>
      </c>
      <c r="H31">
        <v>420</v>
      </c>
      <c r="I31">
        <v>2370</v>
      </c>
      <c r="J31">
        <v>1789</v>
      </c>
      <c r="K31">
        <v>1860</v>
      </c>
      <c r="L31">
        <v>1557</v>
      </c>
      <c r="M31">
        <v>1540</v>
      </c>
      <c r="N31">
        <v>1649</v>
      </c>
      <c r="P31">
        <f t="shared" si="0"/>
        <v>255.96</v>
      </c>
      <c r="Q31">
        <f t="shared" si="1"/>
        <v>193.21199999999999</v>
      </c>
      <c r="R31">
        <f t="shared" si="2"/>
        <v>271.56</v>
      </c>
      <c r="S31">
        <f t="shared" si="3"/>
        <v>227.32199999999997</v>
      </c>
      <c r="T31">
        <f t="shared" si="4"/>
        <v>286.44</v>
      </c>
      <c r="U31">
        <f t="shared" si="5"/>
        <v>422.14400000000001</v>
      </c>
    </row>
    <row r="32" spans="2:21" x14ac:dyDescent="0.35">
      <c r="B32" s="42"/>
      <c r="C32" s="42"/>
      <c r="D32" s="42"/>
      <c r="E32" s="44"/>
      <c r="F32" t="s">
        <v>362</v>
      </c>
      <c r="G32" t="s">
        <v>356</v>
      </c>
      <c r="H32">
        <v>431.8</v>
      </c>
      <c r="I32">
        <v>2386</v>
      </c>
      <c r="J32">
        <v>1788</v>
      </c>
      <c r="K32">
        <v>1878</v>
      </c>
      <c r="L32">
        <v>1561</v>
      </c>
      <c r="M32">
        <v>1546</v>
      </c>
      <c r="N32">
        <v>1657</v>
      </c>
      <c r="P32">
        <f t="shared" si="0"/>
        <v>257.68799999999999</v>
      </c>
      <c r="Q32">
        <f t="shared" si="1"/>
        <v>193.10399999999998</v>
      </c>
      <c r="R32">
        <f t="shared" si="2"/>
        <v>274.18799999999999</v>
      </c>
      <c r="S32">
        <f t="shared" si="3"/>
        <v>227.90599999999998</v>
      </c>
      <c r="T32">
        <f t="shared" si="4"/>
        <v>287.55599999999998</v>
      </c>
      <c r="U32">
        <f t="shared" si="5"/>
        <v>424.19200000000001</v>
      </c>
    </row>
    <row r="33" spans="2:21" x14ac:dyDescent="0.35">
      <c r="B33" s="42">
        <f>MAX(U33:U40)</f>
        <v>516.35199999999998</v>
      </c>
      <c r="C33" s="42">
        <f>MIN(U33:U40)</f>
        <v>460.28800000000001</v>
      </c>
      <c r="D33" s="42">
        <f>B33-C33</f>
        <v>56.063999999999965</v>
      </c>
      <c r="E33" s="43" t="s">
        <v>380</v>
      </c>
      <c r="F33" s="30" t="s">
        <v>355</v>
      </c>
      <c r="G33" s="30" t="s">
        <v>356</v>
      </c>
      <c r="H33" s="30">
        <v>279.39999999999998</v>
      </c>
      <c r="I33" s="30">
        <v>2394</v>
      </c>
      <c r="J33" s="30">
        <v>1990</v>
      </c>
      <c r="K33" s="30">
        <v>1945</v>
      </c>
      <c r="L33" s="30">
        <v>1629</v>
      </c>
      <c r="M33" s="30">
        <v>1625</v>
      </c>
      <c r="N33" s="30">
        <v>1798</v>
      </c>
      <c r="O33" s="30"/>
      <c r="P33" s="30">
        <f t="shared" si="0"/>
        <v>258.55200000000002</v>
      </c>
      <c r="Q33" s="30">
        <f t="shared" si="1"/>
        <v>214.92</v>
      </c>
      <c r="R33" s="30">
        <f t="shared" si="2"/>
        <v>283.96999999999997</v>
      </c>
      <c r="S33" s="30">
        <f t="shared" si="3"/>
        <v>237.83399999999997</v>
      </c>
      <c r="T33" s="30">
        <f t="shared" si="4"/>
        <v>302.25</v>
      </c>
      <c r="U33" s="30">
        <f t="shared" si="5"/>
        <v>460.28800000000001</v>
      </c>
    </row>
    <row r="34" spans="2:21" x14ac:dyDescent="0.35">
      <c r="B34" s="42"/>
      <c r="C34" s="42"/>
      <c r="D34" s="42"/>
      <c r="E34" s="44"/>
      <c r="F34" t="s">
        <v>54</v>
      </c>
      <c r="G34" t="s">
        <v>356</v>
      </c>
      <c r="H34">
        <v>297</v>
      </c>
      <c r="I34">
        <v>2426</v>
      </c>
      <c r="J34">
        <v>2012</v>
      </c>
      <c r="K34">
        <v>1966</v>
      </c>
      <c r="L34">
        <v>1646</v>
      </c>
      <c r="M34">
        <v>1651</v>
      </c>
      <c r="N34">
        <v>1823</v>
      </c>
      <c r="P34">
        <f t="shared" si="0"/>
        <v>262.00799999999998</v>
      </c>
      <c r="Q34">
        <f t="shared" si="1"/>
        <v>217.29599999999999</v>
      </c>
      <c r="R34">
        <f t="shared" si="2"/>
        <v>287.036</v>
      </c>
      <c r="S34">
        <f t="shared" si="3"/>
        <v>240.31599999999997</v>
      </c>
      <c r="T34">
        <f t="shared" si="4"/>
        <v>307.08600000000001</v>
      </c>
      <c r="U34">
        <f t="shared" si="5"/>
        <v>466.68799999999999</v>
      </c>
    </row>
    <row r="35" spans="2:21" x14ac:dyDescent="0.35">
      <c r="B35" s="42"/>
      <c r="C35" s="42"/>
      <c r="D35" s="42"/>
      <c r="E35" s="44"/>
      <c r="F35" s="32" t="s">
        <v>357</v>
      </c>
      <c r="G35" s="32"/>
      <c r="H35" s="32">
        <v>340.4</v>
      </c>
      <c r="I35" s="32">
        <v>2504</v>
      </c>
      <c r="J35" s="32">
        <v>2068</v>
      </c>
      <c r="K35" s="32">
        <v>2017</v>
      </c>
      <c r="L35" s="32">
        <v>1688</v>
      </c>
      <c r="M35" s="32">
        <v>1715</v>
      </c>
      <c r="N35" s="32">
        <v>1885</v>
      </c>
      <c r="O35" s="32"/>
      <c r="P35" s="32">
        <f t="shared" si="0"/>
        <v>270.43200000000002</v>
      </c>
      <c r="Q35" s="32">
        <f t="shared" si="1"/>
        <v>223.34399999999999</v>
      </c>
      <c r="R35" s="32">
        <f t="shared" si="2"/>
        <v>294.48199999999997</v>
      </c>
      <c r="S35" s="32">
        <f t="shared" si="3"/>
        <v>246.44799999999998</v>
      </c>
      <c r="T35" s="32">
        <f t="shared" si="4"/>
        <v>318.99</v>
      </c>
      <c r="U35" s="32">
        <f t="shared" si="5"/>
        <v>482.56</v>
      </c>
    </row>
    <row r="36" spans="2:21" x14ac:dyDescent="0.35">
      <c r="B36" s="42"/>
      <c r="C36" s="42"/>
      <c r="D36" s="42"/>
      <c r="E36" s="44"/>
      <c r="F36" t="s">
        <v>358</v>
      </c>
      <c r="G36" t="s">
        <v>356</v>
      </c>
      <c r="H36">
        <v>355.6</v>
      </c>
      <c r="I36">
        <v>2531</v>
      </c>
      <c r="J36">
        <v>2087</v>
      </c>
      <c r="K36">
        <v>2035</v>
      </c>
      <c r="L36">
        <v>1703</v>
      </c>
      <c r="M36">
        <v>1738</v>
      </c>
      <c r="N36">
        <v>1907</v>
      </c>
      <c r="P36">
        <f t="shared" si="0"/>
        <v>273.34800000000001</v>
      </c>
      <c r="Q36">
        <f t="shared" si="1"/>
        <v>225.39599999999999</v>
      </c>
      <c r="R36">
        <f t="shared" si="2"/>
        <v>297.10999999999996</v>
      </c>
      <c r="S36">
        <f t="shared" si="3"/>
        <v>248.63799999999998</v>
      </c>
      <c r="T36">
        <f t="shared" si="4"/>
        <v>323.26799999999997</v>
      </c>
      <c r="U36">
        <f t="shared" si="5"/>
        <v>488.19200000000001</v>
      </c>
    </row>
    <row r="37" spans="2:21" x14ac:dyDescent="0.35">
      <c r="B37" s="42"/>
      <c r="C37" s="42"/>
      <c r="D37" s="42"/>
      <c r="E37" s="44"/>
      <c r="F37" t="s">
        <v>359</v>
      </c>
      <c r="G37" t="s">
        <v>356</v>
      </c>
      <c r="H37">
        <v>364</v>
      </c>
      <c r="I37">
        <v>2546</v>
      </c>
      <c r="J37">
        <v>2097</v>
      </c>
      <c r="K37">
        <v>2045</v>
      </c>
      <c r="L37">
        <v>1714</v>
      </c>
      <c r="M37">
        <v>1751</v>
      </c>
      <c r="N37">
        <v>1920</v>
      </c>
      <c r="P37">
        <f t="shared" si="0"/>
        <v>274.96800000000002</v>
      </c>
      <c r="Q37">
        <f t="shared" si="1"/>
        <v>226.476</v>
      </c>
      <c r="R37">
        <f t="shared" si="2"/>
        <v>298.57</v>
      </c>
      <c r="S37">
        <f t="shared" si="3"/>
        <v>250.24399999999997</v>
      </c>
      <c r="T37">
        <f t="shared" si="4"/>
        <v>325.68599999999998</v>
      </c>
      <c r="U37">
        <f t="shared" si="5"/>
        <v>491.52</v>
      </c>
    </row>
    <row r="38" spans="2:21" x14ac:dyDescent="0.35">
      <c r="B38" s="42"/>
      <c r="C38" s="42"/>
      <c r="D38" s="42"/>
      <c r="E38" s="44"/>
      <c r="F38" t="s">
        <v>360</v>
      </c>
      <c r="G38" t="s">
        <v>356</v>
      </c>
      <c r="H38">
        <v>390</v>
      </c>
      <c r="I38">
        <v>2595</v>
      </c>
      <c r="J38">
        <v>2123</v>
      </c>
      <c r="K38">
        <v>2076</v>
      </c>
      <c r="L38">
        <v>1759</v>
      </c>
      <c r="M38">
        <v>1789</v>
      </c>
      <c r="N38">
        <v>1957</v>
      </c>
      <c r="P38">
        <f t="shared" si="0"/>
        <v>280.26</v>
      </c>
      <c r="Q38">
        <f t="shared" si="1"/>
        <v>229.28399999999999</v>
      </c>
      <c r="R38">
        <f t="shared" si="2"/>
        <v>303.096</v>
      </c>
      <c r="S38">
        <f t="shared" si="3"/>
        <v>256.81399999999996</v>
      </c>
      <c r="T38">
        <f t="shared" si="4"/>
        <v>332.75400000000002</v>
      </c>
      <c r="U38">
        <f t="shared" si="5"/>
        <v>500.99200000000002</v>
      </c>
    </row>
    <row r="39" spans="2:21" x14ac:dyDescent="0.35">
      <c r="B39" s="42"/>
      <c r="C39" s="42"/>
      <c r="D39" s="42"/>
      <c r="E39" s="44"/>
      <c r="F39" t="s">
        <v>361</v>
      </c>
      <c r="G39" t="s">
        <v>356</v>
      </c>
      <c r="H39">
        <v>420</v>
      </c>
      <c r="I39">
        <v>2664</v>
      </c>
      <c r="J39">
        <v>2120</v>
      </c>
      <c r="K39">
        <v>2110</v>
      </c>
      <c r="L39">
        <v>1811</v>
      </c>
      <c r="M39">
        <v>1834</v>
      </c>
      <c r="N39">
        <v>2000</v>
      </c>
      <c r="P39">
        <f t="shared" si="0"/>
        <v>287.71199999999999</v>
      </c>
      <c r="Q39">
        <f t="shared" si="1"/>
        <v>228.96</v>
      </c>
      <c r="R39">
        <f t="shared" si="2"/>
        <v>308.06</v>
      </c>
      <c r="S39">
        <f t="shared" si="3"/>
        <v>264.40600000000001</v>
      </c>
      <c r="T39">
        <f t="shared" si="4"/>
        <v>341.12400000000002</v>
      </c>
      <c r="U39">
        <f t="shared" si="5"/>
        <v>512</v>
      </c>
    </row>
    <row r="40" spans="2:21" x14ac:dyDescent="0.35">
      <c r="B40" s="42"/>
      <c r="C40" s="42"/>
      <c r="D40" s="42"/>
      <c r="E40" s="44"/>
      <c r="F40" t="s">
        <v>362</v>
      </c>
      <c r="G40" t="s">
        <v>356</v>
      </c>
      <c r="H40">
        <v>431.8</v>
      </c>
      <c r="I40">
        <v>2690</v>
      </c>
      <c r="J40">
        <v>2119</v>
      </c>
      <c r="K40">
        <v>2124</v>
      </c>
      <c r="L40">
        <v>1832</v>
      </c>
      <c r="M40">
        <v>1851</v>
      </c>
      <c r="N40">
        <v>2017</v>
      </c>
      <c r="P40">
        <f t="shared" si="0"/>
        <v>290.52</v>
      </c>
      <c r="Q40">
        <f t="shared" si="1"/>
        <v>228.852</v>
      </c>
      <c r="R40">
        <f t="shared" si="2"/>
        <v>310.10399999999998</v>
      </c>
      <c r="S40">
        <f t="shared" si="3"/>
        <v>267.47199999999998</v>
      </c>
      <c r="T40">
        <f t="shared" si="4"/>
        <v>344.286</v>
      </c>
      <c r="U40">
        <f t="shared" si="5"/>
        <v>516.35199999999998</v>
      </c>
    </row>
  </sheetData>
  <mergeCells count="22">
    <mergeCell ref="B4:B11"/>
    <mergeCell ref="B12:B24"/>
    <mergeCell ref="B25:B32"/>
    <mergeCell ref="B33:B40"/>
    <mergeCell ref="C4:C11"/>
    <mergeCell ref="C12:C24"/>
    <mergeCell ref="C25:C32"/>
    <mergeCell ref="C33:C40"/>
    <mergeCell ref="P1:U1"/>
    <mergeCell ref="P2:Q2"/>
    <mergeCell ref="R2:U2"/>
    <mergeCell ref="I2:J2"/>
    <mergeCell ref="K2:N2"/>
    <mergeCell ref="I1:N1"/>
    <mergeCell ref="D4:D11"/>
    <mergeCell ref="D12:D24"/>
    <mergeCell ref="D25:D32"/>
    <mergeCell ref="D33:D40"/>
    <mergeCell ref="E25:E32"/>
    <mergeCell ref="E33:E40"/>
    <mergeCell ref="E4:E11"/>
    <mergeCell ref="E12:E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MV_log</vt:lpstr>
      <vt:lpstr>LS_log</vt:lpstr>
      <vt:lpstr>LS_debug</vt:lpstr>
      <vt:lpstr>Ricoh cmds</vt:lpstr>
      <vt:lpstr>v1.16</vt:lpstr>
      <vt:lpstr>for specs</vt:lpstr>
      <vt:lpstr>stafford_qds1</vt:lpstr>
      <vt:lpstr>Lawrence vs Stafford</vt:lpstr>
      <vt:lpstr>Sheet1</vt:lpstr>
    </vt:vector>
  </TitlesOfParts>
  <Company>Lexmark International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Elben Invento</dc:creator>
  <cp:lastModifiedBy>Jairo Bersamina Ponce</cp:lastModifiedBy>
  <dcterms:created xsi:type="dcterms:W3CDTF">2022-08-05T05:55:47Z</dcterms:created>
  <dcterms:modified xsi:type="dcterms:W3CDTF">2026-06-30T15:29:04Z</dcterms:modified>
</cp:coreProperties>
</file>